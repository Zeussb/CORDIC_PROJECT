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5"/>
    <sheet state="visible" name="Trang tính1" sheetId="2" r:id="rId6"/>
    <sheet state="visible" name="Rotation mode quartus" sheetId="3" r:id="rId7"/>
  </sheets>
  <definedNames/>
  <calcPr/>
</workbook>
</file>

<file path=xl/sharedStrings.xml><?xml version="1.0" encoding="utf-8"?>
<sst xmlns="http://schemas.openxmlformats.org/spreadsheetml/2006/main" count="540" uniqueCount="234">
  <si>
    <t>Độ</t>
  </si>
  <si>
    <t>scale</t>
  </si>
  <si>
    <t>data_in_z</t>
  </si>
  <si>
    <t>cos</t>
  </si>
  <si>
    <t>sin</t>
  </si>
  <si>
    <t>Cos</t>
  </si>
  <si>
    <t>Sin</t>
  </si>
  <si>
    <t>x</t>
  </si>
  <si>
    <t>y</t>
  </si>
  <si>
    <t>data_in_x</t>
  </si>
  <si>
    <t>data_in_y</t>
  </si>
  <si>
    <t>Góc (HEX)</t>
  </si>
  <si>
    <t>Angle</t>
  </si>
  <si>
    <t>data_in x</t>
  </si>
  <si>
    <t>Độ dài vector</t>
  </si>
  <si>
    <t>Độ dài vector (HEX)</t>
  </si>
  <si>
    <t>Magnitude</t>
  </si>
  <si>
    <t>3AAAAAAA</t>
  </si>
  <si>
    <t>376CF5D0</t>
  </si>
  <si>
    <t>E0000000</t>
  </si>
  <si>
    <t>376D0B42</t>
  </si>
  <si>
    <t>E0002524</t>
  </si>
  <si>
    <t>cos(330)</t>
  </si>
  <si>
    <t>sin(330)</t>
  </si>
  <si>
    <t>3AAAA3A3</t>
  </si>
  <si>
    <t>1</t>
  </si>
  <si>
    <t>0</t>
  </si>
  <si>
    <t>40000000</t>
  </si>
  <si>
    <t>00000000</t>
  </si>
  <si>
    <t>69648523</t>
  </si>
  <si>
    <t>69648526</t>
  </si>
  <si>
    <t>38000000</t>
  </si>
  <si>
    <t>2D413CCD</t>
  </si>
  <si>
    <t>D2BEC333</t>
  </si>
  <si>
    <t>2D4159E1</t>
  </si>
  <si>
    <t>D2BEE048</t>
  </si>
  <si>
    <t>cos(315)</t>
  </si>
  <si>
    <t>sin(315)</t>
  </si>
  <si>
    <t>37FFF791</t>
  </si>
  <si>
    <t>69648522</t>
  </si>
  <si>
    <t>35555555</t>
  </si>
  <si>
    <t>20000000</t>
  </si>
  <si>
    <t>C8930A30</t>
  </si>
  <si>
    <t>1FFFDADA</t>
  </si>
  <si>
    <t>C892F4C0</t>
  </si>
  <si>
    <t>cos(300)</t>
  </si>
  <si>
    <t>sin(300)</t>
  </si>
  <si>
    <t>35555C5D</t>
  </si>
  <si>
    <t>-1</t>
  </si>
  <si>
    <t>C0000000</t>
  </si>
  <si>
    <t>30000000</t>
  </si>
  <si>
    <t>00002E32</t>
  </si>
  <si>
    <t>cos(270)</t>
  </si>
  <si>
    <t>sin(270)</t>
  </si>
  <si>
    <t>2FFFF9A5</t>
  </si>
  <si>
    <t>2AAAAAAA</t>
  </si>
  <si>
    <t>E0002526</t>
  </si>
  <si>
    <t>C892F4BE</t>
  </si>
  <si>
    <t>cos(240)</t>
  </si>
  <si>
    <t>sin(240)</t>
  </si>
  <si>
    <t>2AAAA3A3</t>
  </si>
  <si>
    <t>28000000</t>
  </si>
  <si>
    <t>D2BEA61F</t>
  </si>
  <si>
    <t>cos(225)</t>
  </si>
  <si>
    <t>sin(225)</t>
  </si>
  <si>
    <t>27FFF791</t>
  </si>
  <si>
    <t>0.5</t>
  </si>
  <si>
    <t>0.707</t>
  </si>
  <si>
    <t>4A861BD3</t>
  </si>
  <si>
    <t>4A861BD4</t>
  </si>
  <si>
    <t>25555555</t>
  </si>
  <si>
    <t>cos(210)</t>
  </si>
  <si>
    <t>sin(210)</t>
  </si>
  <si>
    <t>2555C5D</t>
  </si>
  <si>
    <t>-0.5</t>
  </si>
  <si>
    <t>00001E32</t>
  </si>
  <si>
    <t>cos(180)</t>
  </si>
  <si>
    <t>sin(180)</t>
  </si>
  <si>
    <t>2000065B</t>
  </si>
  <si>
    <t>1AAAAAAA</t>
  </si>
  <si>
    <t>cos(150)</t>
  </si>
  <si>
    <t>sin(150)</t>
  </si>
  <si>
    <t>1AAAA3A3</t>
  </si>
  <si>
    <t>18000000</t>
  </si>
  <si>
    <t>2D411FB8</t>
  </si>
  <si>
    <t>cos(135)</t>
  </si>
  <si>
    <t>sin(135)</t>
  </si>
  <si>
    <t>17FFF791</t>
  </si>
  <si>
    <t>0.866</t>
  </si>
  <si>
    <t>376C8B43</t>
  </si>
  <si>
    <t>0.999</t>
  </si>
  <si>
    <t>6963ED2E</t>
  </si>
  <si>
    <t>6963ED31</t>
  </si>
  <si>
    <t>15555555</t>
  </si>
  <si>
    <t>cos(120)</t>
  </si>
  <si>
    <t>sin(120)</t>
  </si>
  <si>
    <t>15555C5D</t>
  </si>
  <si>
    <t>6963ED32</t>
  </si>
  <si>
    <t>10000000</t>
  </si>
  <si>
    <t>00001E34</t>
  </si>
  <si>
    <t>cos(90)</t>
  </si>
  <si>
    <t>sin(90)</t>
  </si>
  <si>
    <t>1000065B</t>
  </si>
  <si>
    <t>-0.866</t>
  </si>
  <si>
    <t>C89374BD</t>
  </si>
  <si>
    <t>0AAAAAAA</t>
  </si>
  <si>
    <t>1FFFDADC</t>
  </si>
  <si>
    <t>376D0B40</t>
  </si>
  <si>
    <t>cos(60)</t>
  </si>
  <si>
    <t>sin(60)</t>
  </si>
  <si>
    <t>0AAAA3A3</t>
  </si>
  <si>
    <t>08000000</t>
  </si>
  <si>
    <t>cos(45)</t>
  </si>
  <si>
    <t>sin(45)</t>
  </si>
  <si>
    <t>07FFF791</t>
  </si>
  <si>
    <t>0.001</t>
  </si>
  <si>
    <t>0.05</t>
  </si>
  <si>
    <t>0010624D</t>
  </si>
  <si>
    <t>03333333</t>
  </si>
  <si>
    <t>0.050</t>
  </si>
  <si>
    <t>05454BB8</t>
  </si>
  <si>
    <t>05454BB9</t>
  </si>
  <si>
    <t>05555555</t>
  </si>
  <si>
    <t>cos(30)</t>
  </si>
  <si>
    <t>sin(30)</t>
  </si>
  <si>
    <t>05555C5D</t>
  </si>
  <si>
    <t>-0.001</t>
  </si>
  <si>
    <t>-0.05</t>
  </si>
  <si>
    <t>FFEF9DB3</t>
  </si>
  <si>
    <t>FCCCCCCD</t>
  </si>
  <si>
    <t>00002E34</t>
  </si>
  <si>
    <t>cos(0)</t>
  </si>
  <si>
    <t>sin(0)</t>
  </si>
  <si>
    <t>FFFFF9A5</t>
  </si>
  <si>
    <t>0.75</t>
  </si>
  <si>
    <t>0.36</t>
  </si>
  <si>
    <t>170A3D70</t>
  </si>
  <si>
    <t>0.832</t>
  </si>
  <si>
    <t>57ADC833</t>
  </si>
  <si>
    <t>57ADC837</t>
  </si>
  <si>
    <t>FAAAAAAB</t>
  </si>
  <si>
    <t>-0.75</t>
  </si>
  <si>
    <t>-0.36</t>
  </si>
  <si>
    <t>D0000000</t>
  </si>
  <si>
    <t>E8F5C290</t>
  </si>
  <si>
    <t>F8000000</t>
  </si>
  <si>
    <t>Thống kê</t>
  </si>
  <si>
    <t>Cosine (x_out)</t>
  </si>
  <si>
    <t>Sine (y_out)</t>
  </si>
  <si>
    <t>Ghi chú</t>
  </si>
  <si>
    <t>F5555556</t>
  </si>
  <si>
    <t>C829F4C0</t>
  </si>
  <si>
    <t>Sai số lớn nhất (max)</t>
  </si>
  <si>
    <t>5.587 × 10⁻⁹</t>
  </si>
  <si>
    <t>xảy ra ở vài góc 225°, 135°, v.v.</t>
  </si>
  <si>
    <t>F0000000</t>
  </si>
  <si>
    <t>Sai số trung bình (mean)</t>
  </si>
  <si>
    <t>2.096 × 10⁻⁹</t>
  </si>
  <si>
    <t>2.322 × 10⁻⁹</t>
  </si>
  <si>
    <t>EAAAAAAB</t>
  </si>
  <si>
    <t>Sai số trung vị (median)</t>
  </si>
  <si>
    <t>1.863 × 10⁻⁹</t>
  </si>
  <si>
    <t>E8000000</t>
  </si>
  <si>
    <t>Sai số RMS</t>
  </si>
  <si>
    <t>2.513 × 10⁻⁹</t>
  </si>
  <si>
    <t>2.687 × 10⁻⁹</t>
  </si>
  <si>
    <t>E5555556</t>
  </si>
  <si>
    <t>Sai số lớn nhất (LSB)</t>
  </si>
  <si>
    <t>6 LSB</t>
  </si>
  <si>
    <t>1 LSB = 2⁻³⁰ ≈ 0.931 × 10⁻⁹</t>
  </si>
  <si>
    <t>FFFFD1CB</t>
  </si>
  <si>
    <t>DAAAAAAB</t>
  </si>
  <si>
    <t>Độ góc</t>
  </si>
  <si>
    <t>Góc chuẩn (HEX)</t>
  </si>
  <si>
    <t>CORDIC output (Angle)</t>
  </si>
  <si>
    <t>Độ lệch (LSB)</t>
  </si>
  <si>
    <t>Độ lệch thực tế (radian)</t>
  </si>
  <si>
    <t>Độ lệch (độ)</t>
  </si>
  <si>
    <t>D8000000</t>
  </si>
  <si>
    <t>330°</t>
  </si>
  <si>
    <t>3AAAAA3</t>
  </si>
  <si>
    <t>6.52 × 10⁻⁹</t>
  </si>
  <si>
    <t>≈ 0.00000037°</t>
  </si>
  <si>
    <t>D5555556</t>
  </si>
  <si>
    <t>315°</t>
  </si>
  <si>
    <t>37FFFFFF</t>
  </si>
  <si>
    <t>1.05 × 10⁻⁷</t>
  </si>
  <si>
    <t>≈ 0.0000060°</t>
  </si>
  <si>
    <t>FFFFC1CB</t>
  </si>
  <si>
    <t>300°</t>
  </si>
  <si>
    <t>1.61 × 10⁻⁶</t>
  </si>
  <si>
    <t>≈ 0.000092°</t>
  </si>
  <si>
    <t>CAAAAAAB</t>
  </si>
  <si>
    <t>270°</t>
  </si>
  <si>
    <t>1.51 × 10⁻⁶</t>
  </si>
  <si>
    <t>≈ 0.000087°</t>
  </si>
  <si>
    <t>C8000000</t>
  </si>
  <si>
    <t>240°</t>
  </si>
  <si>
    <t>1.67 × 10⁻⁶</t>
  </si>
  <si>
    <t>≈ 0.000096°</t>
  </si>
  <si>
    <t>C5555556</t>
  </si>
  <si>
    <t>225°</t>
  </si>
  <si>
    <t>210°</t>
  </si>
  <si>
    <t>180°</t>
  </si>
  <si>
    <t>150°</t>
  </si>
  <si>
    <t>1.67 × 10⁻⁻⁶</t>
  </si>
  <si>
    <t>135°</t>
  </si>
  <si>
    <t>120°</t>
  </si>
  <si>
    <t>90°</t>
  </si>
  <si>
    <t>60°</t>
  </si>
  <si>
    <t>45°</t>
  </si>
  <si>
    <t>30°</t>
  </si>
  <si>
    <t>0°</t>
  </si>
  <si>
    <t>Giá trị</t>
  </si>
  <si>
    <t>Sai số lớn nhất</t>
  </si>
  <si>
    <t>1799 LSB ≈ 1.67 × 10⁻⁶ rad ≈ 0.000096°</t>
  </si>
  <si>
    <t>Sai số trung bình</t>
  </si>
  <si>
    <t>≈ 1350 LSB ≈ 1.26 × 10⁻⁶ rad</t>
  </si>
  <si>
    <t>≈ 1.55 × 10⁻⁶ rad</t>
  </si>
  <si>
    <t>Rotation mode</t>
  </si>
  <si>
    <t>Vectoring mode</t>
  </si>
  <si>
    <t>z</t>
  </si>
  <si>
    <t>căn 2 / 2</t>
  </si>
  <si>
    <t>z_in</t>
  </si>
  <si>
    <t>x_out</t>
  </si>
  <si>
    <t>y_out</t>
  </si>
  <si>
    <t>6ed9e685</t>
  </si>
  <si>
    <t>400008dd</t>
  </si>
  <si>
    <t>7ba378af</t>
  </si>
  <si>
    <t>2120ee2c</t>
  </si>
  <si>
    <t>7f834fce</t>
  </si>
  <si>
    <t>0b27e010</t>
  </si>
  <si>
    <t>6bfdbe44</t>
  </si>
  <si>
    <t>003bfe4f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</si>
</sst>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6">
    <font>
      <sz val="10.0"/>
      <color rgb="FF000000"/>
      <name val="Arial"/>
      <scheme val="minor"/>
    </font>
    <font>
      <b/>
      <sz val="11.0"/>
      <color rgb="FF000000"/>
      <name val="Calibri"/>
    </font>
    <font>
      <b/>
      <color theme="1"/>
      <name val="Arial"/>
      <scheme val="minor"/>
    </font>
    <font>
      <sz val="11.0"/>
      <color rgb="FF000000"/>
      <name val="Calibri"/>
    </font>
    <font>
      <color rgb="FF000000"/>
      <name val="Arial"/>
      <scheme val="minor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6FA8DC"/>
        <bgColor rgb="FF6FA8DC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1" fillId="3" fontId="1" numFmtId="0" xfId="0" applyAlignment="1" applyBorder="1" applyFill="1" applyFont="1">
      <alignment readingOrder="0" shrinkToFit="0" vertical="bottom" wrapText="0"/>
    </xf>
    <xf borderId="1" fillId="4" fontId="1" numFmtId="0" xfId="0" applyAlignment="1" applyBorder="1" applyFill="1" applyFont="1">
      <alignment readingOrder="0" shrinkToFit="0" vertical="bottom" wrapText="0"/>
    </xf>
    <xf borderId="1" fillId="5" fontId="2" numFmtId="0" xfId="0" applyAlignment="1" applyBorder="1" applyFill="1" applyFont="1">
      <alignment readingOrder="0"/>
    </xf>
    <xf borderId="1" fillId="6" fontId="2" numFmtId="0" xfId="0" applyAlignment="1" applyBorder="1" applyFill="1" applyFont="1">
      <alignment readingOrder="0"/>
    </xf>
    <xf borderId="1" fillId="7" fontId="1" numFmtId="0" xfId="0" applyAlignment="1" applyBorder="1" applyFill="1" applyFont="1">
      <alignment readingOrder="0" shrinkToFit="0" vertical="bottom" wrapText="0"/>
    </xf>
    <xf borderId="1" fillId="7" fontId="2" numFmtId="0" xfId="0" applyAlignment="1" applyBorder="1" applyFont="1">
      <alignment readingOrder="0"/>
    </xf>
    <xf borderId="1" fillId="8" fontId="2" numFmtId="0" xfId="0" applyAlignment="1" applyBorder="1" applyFill="1" applyFont="1">
      <alignment readingOrder="0"/>
    </xf>
    <xf borderId="1" fillId="2" fontId="3" numFmtId="0" xfId="0" applyAlignment="1" applyBorder="1" applyFont="1">
      <alignment horizontal="right" readingOrder="0" shrinkToFit="0" vertical="bottom" wrapText="0"/>
    </xf>
    <xf borderId="1" fillId="2" fontId="3" numFmtId="164" xfId="0" applyAlignment="1" applyBorder="1" applyFont="1" applyNumberFormat="1">
      <alignment horizontal="right" readingOrder="0" shrinkToFit="0" vertical="bottom" wrapText="0"/>
    </xf>
    <xf borderId="1" fillId="2" fontId="3" numFmtId="49" xfId="0" applyAlignment="1" applyBorder="1" applyFont="1" applyNumberFormat="1">
      <alignment readingOrder="0" shrinkToFit="0" vertical="bottom" wrapText="0"/>
    </xf>
    <xf borderId="1" fillId="3" fontId="3" numFmtId="49" xfId="0" applyAlignment="1" applyBorder="1" applyFont="1" applyNumberFormat="1">
      <alignment readingOrder="0" shrinkToFit="0" vertical="bottom" wrapText="0"/>
    </xf>
    <xf borderId="1" fillId="4" fontId="4" numFmtId="49" xfId="0" applyAlignment="1" applyBorder="1" applyFont="1" applyNumberFormat="1">
      <alignment readingOrder="0"/>
    </xf>
    <xf borderId="1" fillId="5" fontId="3" numFmtId="49" xfId="0" applyAlignment="1" applyBorder="1" applyFont="1" applyNumberFormat="1">
      <alignment horizontal="right" readingOrder="0" shrinkToFit="0" vertical="bottom" wrapText="0"/>
    </xf>
    <xf borderId="1" fillId="6" fontId="3" numFmtId="49" xfId="0" applyAlignment="1" applyBorder="1" applyFont="1" applyNumberFormat="1">
      <alignment readingOrder="0" shrinkToFit="0" vertical="bottom" wrapText="0"/>
    </xf>
    <xf borderId="1" fillId="7" fontId="3" numFmtId="0" xfId="0" applyAlignment="1" applyBorder="1" applyFont="1">
      <alignment horizontal="right" readingOrder="0" shrinkToFit="0" vertical="bottom" wrapText="0"/>
    </xf>
    <xf borderId="1" fillId="7" fontId="3" numFmtId="49" xfId="0" applyAlignment="1" applyBorder="1" applyFont="1" applyNumberFormat="1">
      <alignment readingOrder="0" shrinkToFit="0" vertical="bottom" wrapText="0"/>
    </xf>
    <xf borderId="1" fillId="8" fontId="5" numFmtId="0" xfId="0" applyAlignment="1" applyBorder="1" applyFont="1">
      <alignment horizontal="left" readingOrder="0"/>
    </xf>
    <xf borderId="1" fillId="5" fontId="5" numFmtId="49" xfId="0" applyAlignment="1" applyBorder="1" applyFont="1" applyNumberFormat="1">
      <alignment readingOrder="0"/>
    </xf>
    <xf borderId="1" fillId="6" fontId="5" numFmtId="49" xfId="0" applyAlignment="1" applyBorder="1" applyFont="1" applyNumberFormat="1">
      <alignment readingOrder="0"/>
    </xf>
    <xf borderId="1" fillId="7" fontId="5" numFmtId="49" xfId="0" applyAlignment="1" applyBorder="1" applyFont="1" applyNumberFormat="1">
      <alignment readingOrder="0"/>
    </xf>
    <xf borderId="1" fillId="8" fontId="5" numFmtId="49" xfId="0" applyAlignment="1" applyBorder="1" applyFont="1" applyNumberFormat="1">
      <alignment readingOrder="0"/>
    </xf>
    <xf borderId="1" fillId="8" fontId="3" numFmtId="49" xfId="0" applyAlignment="1" applyBorder="1" applyFont="1" applyNumberFormat="1">
      <alignment readingOrder="0" shrinkToFit="0" vertical="bottom" wrapText="0"/>
    </xf>
    <xf borderId="1" fillId="4" fontId="0" numFmtId="49" xfId="0" applyAlignment="1" applyBorder="1" applyFont="1" applyNumberFormat="1">
      <alignment readingOrder="0" shrinkToFit="0" vertical="bottom" wrapText="0"/>
    </xf>
    <xf borderId="1" fillId="8" fontId="5" numFmtId="0" xfId="0" applyAlignment="1" applyBorder="1" applyFont="1">
      <alignment readingOrder="0"/>
    </xf>
    <xf borderId="0" fillId="0" fontId="3" numFmtId="49" xfId="0" applyAlignment="1" applyFont="1" applyNumberFormat="1">
      <alignment horizontal="right" readingOrder="0" shrinkToFit="0" vertical="bottom" wrapText="0"/>
    </xf>
    <xf borderId="0" fillId="0" fontId="3" numFmtId="49" xfId="0" applyAlignment="1" applyFont="1" applyNumberFormat="1">
      <alignment readingOrder="0" shrinkToFit="0" vertical="bottom" wrapText="0"/>
    </xf>
    <xf borderId="1" fillId="0" fontId="2" numFmtId="49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3" numFmtId="49" xfId="0" applyAlignment="1" applyBorder="1" applyFont="1" applyNumberFormat="1">
      <alignment readingOrder="0" shrinkToFit="0" vertical="bottom" wrapText="0"/>
    </xf>
    <xf borderId="0" fillId="0" fontId="5" numFmtId="49" xfId="0" applyFont="1" applyNumberFormat="1"/>
    <xf borderId="1" fillId="0" fontId="5" numFmtId="49" xfId="0" applyAlignment="1" applyBorder="1" applyFont="1" applyNumberFormat="1">
      <alignment readingOrder="0"/>
    </xf>
    <xf borderId="1" fillId="0" fontId="5" numFmtId="0" xfId="0" applyAlignment="1" applyBorder="1" applyFont="1">
      <alignment readingOrder="0"/>
    </xf>
    <xf borderId="1" fillId="0" fontId="5" numFmtId="0" xfId="0" applyBorder="1" applyFont="1"/>
    <xf borderId="0" fillId="0" fontId="5" numFmtId="0" xfId="0" applyAlignment="1" applyFont="1">
      <alignment readingOrder="0"/>
    </xf>
    <xf borderId="0" fillId="0" fontId="5" numFmtId="11" xfId="0" applyAlignment="1" applyFont="1" applyNumberFormat="1">
      <alignment readingOrder="0"/>
    </xf>
    <xf borderId="0" fillId="0" fontId="5" numFmtId="49" xfId="0" applyAlignment="1" applyFont="1" applyNumberFormat="1">
      <alignment readingOrder="0"/>
    </xf>
    <xf borderId="0" fillId="0" fontId="5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9.0"/>
    <col customWidth="1" min="10" max="10" width="16.88"/>
    <col customWidth="1" min="11" max="11" width="18.13"/>
    <col customWidth="1" min="13" max="13" width="20.13"/>
    <col customWidth="1" min="19" max="19" width="14.38"/>
    <col customWidth="1" min="20" max="20" width="15.13"/>
    <col customWidth="1" min="21" max="21" width="14.75"/>
    <col customWidth="1" min="22" max="22" width="17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I1" s="4" t="s">
        <v>7</v>
      </c>
      <c r="J1" s="4" t="s">
        <v>8</v>
      </c>
      <c r="K1" s="5" t="s">
        <v>9</v>
      </c>
      <c r="L1" s="5" t="s">
        <v>10</v>
      </c>
      <c r="M1" s="6" t="s">
        <v>0</v>
      </c>
      <c r="N1" s="7" t="s">
        <v>11</v>
      </c>
      <c r="O1" s="8" t="s">
        <v>12</v>
      </c>
      <c r="Q1" s="4" t="s">
        <v>7</v>
      </c>
      <c r="R1" s="4" t="s">
        <v>8</v>
      </c>
      <c r="S1" s="5" t="s">
        <v>13</v>
      </c>
      <c r="T1" s="5" t="s">
        <v>10</v>
      </c>
      <c r="U1" s="7" t="s">
        <v>14</v>
      </c>
      <c r="V1" s="7" t="s">
        <v>15</v>
      </c>
      <c r="W1" s="8" t="s">
        <v>16</v>
      </c>
    </row>
    <row r="2">
      <c r="A2" s="9">
        <v>330.0</v>
      </c>
      <c r="B2" s="10">
        <f t="shared" ref="B2:B32" si="1">A2/360</f>
        <v>0.9166666667</v>
      </c>
      <c r="C2" s="11" t="s">
        <v>17</v>
      </c>
      <c r="D2" s="12" t="s">
        <v>18</v>
      </c>
      <c r="E2" s="12" t="s">
        <v>19</v>
      </c>
      <c r="F2" s="13" t="s">
        <v>20</v>
      </c>
      <c r="G2" s="13" t="s">
        <v>21</v>
      </c>
      <c r="I2" s="14" t="s">
        <v>22</v>
      </c>
      <c r="J2" s="14" t="s">
        <v>23</v>
      </c>
      <c r="K2" s="15" t="s">
        <v>18</v>
      </c>
      <c r="L2" s="15" t="s">
        <v>19</v>
      </c>
      <c r="M2" s="16">
        <v>330.0</v>
      </c>
      <c r="N2" s="17" t="s">
        <v>17</v>
      </c>
      <c r="O2" s="18" t="s">
        <v>24</v>
      </c>
      <c r="Q2" s="19" t="s">
        <v>25</v>
      </c>
      <c r="R2" s="19" t="s">
        <v>26</v>
      </c>
      <c r="S2" s="20" t="s">
        <v>27</v>
      </c>
      <c r="T2" s="20" t="s">
        <v>28</v>
      </c>
      <c r="U2" s="21" t="s">
        <v>25</v>
      </c>
      <c r="V2" s="21" t="s">
        <v>29</v>
      </c>
      <c r="W2" s="22" t="s">
        <v>30</v>
      </c>
    </row>
    <row r="3">
      <c r="A3" s="9">
        <v>315.0</v>
      </c>
      <c r="B3" s="10">
        <f t="shared" si="1"/>
        <v>0.875</v>
      </c>
      <c r="C3" s="11" t="s">
        <v>31</v>
      </c>
      <c r="D3" s="12" t="s">
        <v>32</v>
      </c>
      <c r="E3" s="12" t="s">
        <v>33</v>
      </c>
      <c r="F3" s="13" t="s">
        <v>34</v>
      </c>
      <c r="G3" s="13" t="s">
        <v>35</v>
      </c>
      <c r="I3" s="14" t="s">
        <v>36</v>
      </c>
      <c r="J3" s="14" t="s">
        <v>37</v>
      </c>
      <c r="K3" s="15" t="s">
        <v>32</v>
      </c>
      <c r="L3" s="15" t="s">
        <v>33</v>
      </c>
      <c r="M3" s="16">
        <v>315.0</v>
      </c>
      <c r="N3" s="17" t="s">
        <v>31</v>
      </c>
      <c r="O3" s="18" t="s">
        <v>38</v>
      </c>
      <c r="Q3" s="19" t="s">
        <v>26</v>
      </c>
      <c r="R3" s="19" t="s">
        <v>25</v>
      </c>
      <c r="S3" s="20" t="s">
        <v>28</v>
      </c>
      <c r="T3" s="20" t="s">
        <v>27</v>
      </c>
      <c r="U3" s="21" t="s">
        <v>25</v>
      </c>
      <c r="V3" s="21" t="s">
        <v>29</v>
      </c>
      <c r="W3" s="22" t="s">
        <v>39</v>
      </c>
    </row>
    <row r="4">
      <c r="A4" s="9">
        <v>300.0</v>
      </c>
      <c r="B4" s="10">
        <f t="shared" si="1"/>
        <v>0.8333333333</v>
      </c>
      <c r="C4" s="11" t="s">
        <v>40</v>
      </c>
      <c r="D4" s="12" t="s">
        <v>41</v>
      </c>
      <c r="E4" s="12" t="s">
        <v>42</v>
      </c>
      <c r="F4" s="13" t="s">
        <v>43</v>
      </c>
      <c r="G4" s="13" t="s">
        <v>44</v>
      </c>
      <c r="I4" s="14" t="s">
        <v>45</v>
      </c>
      <c r="J4" s="14" t="s">
        <v>46</v>
      </c>
      <c r="K4" s="15" t="s">
        <v>41</v>
      </c>
      <c r="L4" s="15" t="s">
        <v>42</v>
      </c>
      <c r="M4" s="16">
        <v>300.0</v>
      </c>
      <c r="N4" s="17" t="s">
        <v>40</v>
      </c>
      <c r="O4" s="18" t="s">
        <v>47</v>
      </c>
      <c r="Q4" s="19" t="s">
        <v>48</v>
      </c>
      <c r="R4" s="19" t="s">
        <v>26</v>
      </c>
      <c r="S4" s="20" t="s">
        <v>49</v>
      </c>
      <c r="T4" s="20" t="s">
        <v>28</v>
      </c>
      <c r="U4" s="21" t="s">
        <v>25</v>
      </c>
      <c r="V4" s="21" t="s">
        <v>29</v>
      </c>
      <c r="W4" s="22" t="s">
        <v>39</v>
      </c>
    </row>
    <row r="5">
      <c r="A5" s="9">
        <v>270.0</v>
      </c>
      <c r="B5" s="10">
        <f t="shared" si="1"/>
        <v>0.75</v>
      </c>
      <c r="C5" s="11" t="s">
        <v>50</v>
      </c>
      <c r="D5" s="12" t="s">
        <v>28</v>
      </c>
      <c r="E5" s="12" t="s">
        <v>49</v>
      </c>
      <c r="F5" s="13" t="s">
        <v>51</v>
      </c>
      <c r="G5" s="13" t="s">
        <v>49</v>
      </c>
      <c r="I5" s="14" t="s">
        <v>52</v>
      </c>
      <c r="J5" s="14" t="s">
        <v>53</v>
      </c>
      <c r="K5" s="15" t="s">
        <v>28</v>
      </c>
      <c r="L5" s="15" t="s">
        <v>49</v>
      </c>
      <c r="M5" s="16">
        <v>270.0</v>
      </c>
      <c r="N5" s="17" t="s">
        <v>50</v>
      </c>
      <c r="O5" s="18" t="s">
        <v>54</v>
      </c>
      <c r="Q5" s="19" t="s">
        <v>26</v>
      </c>
      <c r="R5" s="19" t="s">
        <v>48</v>
      </c>
      <c r="S5" s="20" t="s">
        <v>28</v>
      </c>
      <c r="T5" s="20" t="s">
        <v>49</v>
      </c>
      <c r="U5" s="21" t="s">
        <v>25</v>
      </c>
      <c r="V5" s="21" t="s">
        <v>29</v>
      </c>
      <c r="W5" s="22" t="s">
        <v>30</v>
      </c>
    </row>
    <row r="6">
      <c r="A6" s="9">
        <v>240.0</v>
      </c>
      <c r="B6" s="10">
        <f t="shared" si="1"/>
        <v>0.6666666667</v>
      </c>
      <c r="C6" s="11" t="s">
        <v>55</v>
      </c>
      <c r="D6" s="12" t="s">
        <v>19</v>
      </c>
      <c r="E6" s="12" t="s">
        <v>42</v>
      </c>
      <c r="F6" s="13" t="s">
        <v>56</v>
      </c>
      <c r="G6" s="13" t="s">
        <v>57</v>
      </c>
      <c r="I6" s="14" t="s">
        <v>58</v>
      </c>
      <c r="J6" s="14" t="s">
        <v>59</v>
      </c>
      <c r="K6" s="15" t="s">
        <v>19</v>
      </c>
      <c r="L6" s="15" t="s">
        <v>42</v>
      </c>
      <c r="M6" s="16">
        <v>240.0</v>
      </c>
      <c r="N6" s="17" t="s">
        <v>55</v>
      </c>
      <c r="O6" s="23" t="s">
        <v>60</v>
      </c>
      <c r="Q6" s="19" t="s">
        <v>26</v>
      </c>
      <c r="R6" s="19" t="s">
        <v>26</v>
      </c>
      <c r="S6" s="20" t="s">
        <v>28</v>
      </c>
      <c r="T6" s="20" t="s">
        <v>28</v>
      </c>
      <c r="U6" s="21" t="s">
        <v>26</v>
      </c>
      <c r="V6" s="21" t="s">
        <v>28</v>
      </c>
      <c r="W6" s="22" t="s">
        <v>28</v>
      </c>
    </row>
    <row r="7">
      <c r="A7" s="9">
        <v>225.0</v>
      </c>
      <c r="B7" s="10">
        <f t="shared" si="1"/>
        <v>0.625</v>
      </c>
      <c r="C7" s="11" t="s">
        <v>61</v>
      </c>
      <c r="D7" s="12" t="s">
        <v>33</v>
      </c>
      <c r="E7" s="12" t="s">
        <v>33</v>
      </c>
      <c r="F7" s="13" t="s">
        <v>35</v>
      </c>
      <c r="G7" s="13" t="s">
        <v>62</v>
      </c>
      <c r="I7" s="14" t="s">
        <v>63</v>
      </c>
      <c r="J7" s="14" t="s">
        <v>64</v>
      </c>
      <c r="K7" s="15" t="s">
        <v>33</v>
      </c>
      <c r="L7" s="15" t="s">
        <v>33</v>
      </c>
      <c r="M7" s="16">
        <v>225.0</v>
      </c>
      <c r="N7" s="17" t="s">
        <v>61</v>
      </c>
      <c r="O7" s="23" t="s">
        <v>65</v>
      </c>
      <c r="Q7" s="19" t="s">
        <v>66</v>
      </c>
      <c r="R7" s="19" t="s">
        <v>66</v>
      </c>
      <c r="S7" s="20" t="s">
        <v>41</v>
      </c>
      <c r="T7" s="20" t="s">
        <v>41</v>
      </c>
      <c r="U7" s="21" t="s">
        <v>67</v>
      </c>
      <c r="V7" s="21" t="s">
        <v>68</v>
      </c>
      <c r="W7" s="22" t="s">
        <v>69</v>
      </c>
    </row>
    <row r="8">
      <c r="A8" s="9">
        <v>210.0</v>
      </c>
      <c r="B8" s="10">
        <f t="shared" si="1"/>
        <v>0.5833333333</v>
      </c>
      <c r="C8" s="11" t="s">
        <v>70</v>
      </c>
      <c r="D8" s="12" t="s">
        <v>42</v>
      </c>
      <c r="E8" s="12" t="s">
        <v>19</v>
      </c>
      <c r="F8" s="13" t="s">
        <v>57</v>
      </c>
      <c r="G8" s="13" t="s">
        <v>56</v>
      </c>
      <c r="I8" s="14" t="s">
        <v>71</v>
      </c>
      <c r="J8" s="14" t="s">
        <v>72</v>
      </c>
      <c r="K8" s="15" t="s">
        <v>42</v>
      </c>
      <c r="L8" s="15" t="s">
        <v>19</v>
      </c>
      <c r="M8" s="16">
        <v>210.0</v>
      </c>
      <c r="N8" s="17" t="s">
        <v>70</v>
      </c>
      <c r="O8" s="23" t="s">
        <v>73</v>
      </c>
      <c r="Q8" s="19" t="s">
        <v>74</v>
      </c>
      <c r="R8" s="19" t="s">
        <v>66</v>
      </c>
      <c r="S8" s="20" t="s">
        <v>41</v>
      </c>
      <c r="T8" s="20" t="s">
        <v>19</v>
      </c>
      <c r="U8" s="21" t="s">
        <v>67</v>
      </c>
      <c r="V8" s="21" t="s">
        <v>68</v>
      </c>
      <c r="W8" s="22" t="s">
        <v>69</v>
      </c>
    </row>
    <row r="9">
      <c r="A9" s="9">
        <v>180.0</v>
      </c>
      <c r="B9" s="10">
        <f t="shared" si="1"/>
        <v>0.5</v>
      </c>
      <c r="C9" s="11" t="s">
        <v>41</v>
      </c>
      <c r="D9" s="12" t="s">
        <v>49</v>
      </c>
      <c r="E9" s="12" t="s">
        <v>28</v>
      </c>
      <c r="F9" s="24" t="s">
        <v>49</v>
      </c>
      <c r="G9" s="13" t="s">
        <v>75</v>
      </c>
      <c r="I9" s="14" t="s">
        <v>76</v>
      </c>
      <c r="J9" s="14" t="s">
        <v>77</v>
      </c>
      <c r="K9" s="15" t="s">
        <v>49</v>
      </c>
      <c r="L9" s="15" t="s">
        <v>28</v>
      </c>
      <c r="M9" s="16">
        <v>180.0</v>
      </c>
      <c r="N9" s="17" t="s">
        <v>41</v>
      </c>
      <c r="O9" s="18" t="s">
        <v>78</v>
      </c>
      <c r="Q9" s="19" t="s">
        <v>66</v>
      </c>
      <c r="R9" s="19" t="s">
        <v>74</v>
      </c>
      <c r="S9" s="20" t="s">
        <v>19</v>
      </c>
      <c r="T9" s="20" t="s">
        <v>41</v>
      </c>
      <c r="U9" s="21" t="s">
        <v>67</v>
      </c>
      <c r="V9" s="21" t="s">
        <v>68</v>
      </c>
      <c r="W9" s="22" t="s">
        <v>69</v>
      </c>
    </row>
    <row r="10">
      <c r="A10" s="9">
        <v>150.0</v>
      </c>
      <c r="B10" s="10">
        <f t="shared" si="1"/>
        <v>0.4166666667</v>
      </c>
      <c r="C10" s="11" t="s">
        <v>79</v>
      </c>
      <c r="D10" s="12" t="s">
        <v>42</v>
      </c>
      <c r="E10" s="12" t="s">
        <v>41</v>
      </c>
      <c r="F10" s="13" t="s">
        <v>44</v>
      </c>
      <c r="G10" s="13" t="s">
        <v>43</v>
      </c>
      <c r="I10" s="14" t="s">
        <v>80</v>
      </c>
      <c r="J10" s="14" t="s">
        <v>81</v>
      </c>
      <c r="K10" s="15" t="s">
        <v>42</v>
      </c>
      <c r="L10" s="15" t="s">
        <v>41</v>
      </c>
      <c r="M10" s="16">
        <v>150.0</v>
      </c>
      <c r="N10" s="17" t="s">
        <v>79</v>
      </c>
      <c r="O10" s="18" t="s">
        <v>82</v>
      </c>
      <c r="Q10" s="19" t="s">
        <v>74</v>
      </c>
      <c r="R10" s="19" t="s">
        <v>74</v>
      </c>
      <c r="S10" s="20" t="s">
        <v>19</v>
      </c>
      <c r="T10" s="20" t="s">
        <v>19</v>
      </c>
      <c r="U10" s="21" t="s">
        <v>67</v>
      </c>
      <c r="V10" s="21" t="s">
        <v>68</v>
      </c>
      <c r="W10" s="22" t="s">
        <v>69</v>
      </c>
    </row>
    <row r="11">
      <c r="A11" s="9">
        <v>135.0</v>
      </c>
      <c r="B11" s="10">
        <f t="shared" si="1"/>
        <v>0.375</v>
      </c>
      <c r="C11" s="11" t="s">
        <v>83</v>
      </c>
      <c r="D11" s="12" t="s">
        <v>33</v>
      </c>
      <c r="E11" s="12" t="s">
        <v>32</v>
      </c>
      <c r="F11" s="13" t="s">
        <v>62</v>
      </c>
      <c r="G11" s="13" t="s">
        <v>84</v>
      </c>
      <c r="I11" s="14" t="s">
        <v>85</v>
      </c>
      <c r="J11" s="14" t="s">
        <v>86</v>
      </c>
      <c r="K11" s="15" t="s">
        <v>33</v>
      </c>
      <c r="L11" s="15" t="s">
        <v>32</v>
      </c>
      <c r="M11" s="16">
        <v>135.0</v>
      </c>
      <c r="N11" s="17" t="s">
        <v>83</v>
      </c>
      <c r="O11" s="18" t="s">
        <v>87</v>
      </c>
      <c r="Q11" s="19" t="s">
        <v>88</v>
      </c>
      <c r="R11" s="19" t="s">
        <v>66</v>
      </c>
      <c r="S11" s="20" t="s">
        <v>89</v>
      </c>
      <c r="T11" s="20" t="s">
        <v>41</v>
      </c>
      <c r="U11" s="21" t="s">
        <v>90</v>
      </c>
      <c r="V11" s="21" t="s">
        <v>91</v>
      </c>
      <c r="W11" s="22" t="s">
        <v>92</v>
      </c>
    </row>
    <row r="12">
      <c r="A12" s="9">
        <v>120.0</v>
      </c>
      <c r="B12" s="10">
        <f t="shared" si="1"/>
        <v>0.3333333333</v>
      </c>
      <c r="C12" s="11" t="s">
        <v>93</v>
      </c>
      <c r="D12" s="12" t="s">
        <v>19</v>
      </c>
      <c r="E12" s="12" t="s">
        <v>18</v>
      </c>
      <c r="F12" s="13" t="s">
        <v>21</v>
      </c>
      <c r="G12" s="13" t="s">
        <v>20</v>
      </c>
      <c r="I12" s="14" t="s">
        <v>94</v>
      </c>
      <c r="J12" s="14" t="s">
        <v>95</v>
      </c>
      <c r="K12" s="15" t="s">
        <v>19</v>
      </c>
      <c r="L12" s="15" t="s">
        <v>18</v>
      </c>
      <c r="M12" s="16">
        <v>120.0</v>
      </c>
      <c r="N12" s="17" t="s">
        <v>93</v>
      </c>
      <c r="O12" s="18" t="s">
        <v>96</v>
      </c>
      <c r="Q12" s="19" t="s">
        <v>88</v>
      </c>
      <c r="R12" s="19" t="s">
        <v>74</v>
      </c>
      <c r="S12" s="20" t="s">
        <v>89</v>
      </c>
      <c r="T12" s="20" t="s">
        <v>19</v>
      </c>
      <c r="U12" s="21" t="s">
        <v>90</v>
      </c>
      <c r="V12" s="21" t="s">
        <v>91</v>
      </c>
      <c r="W12" s="22" t="s">
        <v>97</v>
      </c>
    </row>
    <row r="13">
      <c r="A13" s="9">
        <v>90.0</v>
      </c>
      <c r="B13" s="10">
        <f t="shared" si="1"/>
        <v>0.25</v>
      </c>
      <c r="C13" s="11" t="s">
        <v>98</v>
      </c>
      <c r="D13" s="12" t="s">
        <v>28</v>
      </c>
      <c r="E13" s="12" t="s">
        <v>27</v>
      </c>
      <c r="F13" s="13" t="s">
        <v>99</v>
      </c>
      <c r="G13" s="13" t="s">
        <v>27</v>
      </c>
      <c r="I13" s="14" t="s">
        <v>100</v>
      </c>
      <c r="J13" s="14" t="s">
        <v>101</v>
      </c>
      <c r="K13" s="15" t="s">
        <v>28</v>
      </c>
      <c r="L13" s="15" t="s">
        <v>27</v>
      </c>
      <c r="M13" s="16">
        <v>90.0</v>
      </c>
      <c r="N13" s="17" t="s">
        <v>98</v>
      </c>
      <c r="O13" s="25" t="s">
        <v>102</v>
      </c>
      <c r="Q13" s="19" t="s">
        <v>103</v>
      </c>
      <c r="R13" s="19" t="s">
        <v>66</v>
      </c>
      <c r="S13" s="20" t="s">
        <v>104</v>
      </c>
      <c r="T13" s="20" t="s">
        <v>41</v>
      </c>
      <c r="U13" s="21" t="s">
        <v>90</v>
      </c>
      <c r="V13" s="21" t="s">
        <v>91</v>
      </c>
      <c r="W13" s="22" t="s">
        <v>97</v>
      </c>
    </row>
    <row r="14">
      <c r="A14" s="9">
        <v>60.0</v>
      </c>
      <c r="B14" s="10">
        <f t="shared" si="1"/>
        <v>0.1666666667</v>
      </c>
      <c r="C14" s="11" t="s">
        <v>105</v>
      </c>
      <c r="D14" s="12" t="s">
        <v>41</v>
      </c>
      <c r="E14" s="12" t="s">
        <v>18</v>
      </c>
      <c r="F14" s="13" t="s">
        <v>106</v>
      </c>
      <c r="G14" s="13" t="s">
        <v>107</v>
      </c>
      <c r="I14" s="14" t="s">
        <v>108</v>
      </c>
      <c r="J14" s="14" t="s">
        <v>109</v>
      </c>
      <c r="K14" s="15" t="s">
        <v>41</v>
      </c>
      <c r="L14" s="15" t="s">
        <v>18</v>
      </c>
      <c r="M14" s="16">
        <v>60.0</v>
      </c>
      <c r="N14" s="17" t="s">
        <v>105</v>
      </c>
      <c r="O14" s="25" t="s">
        <v>110</v>
      </c>
      <c r="Q14" s="19" t="s">
        <v>103</v>
      </c>
      <c r="R14" s="19" t="s">
        <v>74</v>
      </c>
      <c r="S14" s="20" t="s">
        <v>104</v>
      </c>
      <c r="T14" s="20" t="s">
        <v>19</v>
      </c>
      <c r="U14" s="21" t="s">
        <v>90</v>
      </c>
      <c r="V14" s="21" t="s">
        <v>91</v>
      </c>
      <c r="W14" s="22" t="s">
        <v>92</v>
      </c>
    </row>
    <row r="15">
      <c r="A15" s="9">
        <v>45.0</v>
      </c>
      <c r="B15" s="10">
        <f t="shared" si="1"/>
        <v>0.125</v>
      </c>
      <c r="C15" s="11" t="s">
        <v>111</v>
      </c>
      <c r="D15" s="12" t="s">
        <v>32</v>
      </c>
      <c r="E15" s="12" t="s">
        <v>32</v>
      </c>
      <c r="F15" s="13" t="s">
        <v>84</v>
      </c>
      <c r="G15" s="13" t="s">
        <v>34</v>
      </c>
      <c r="I15" s="14" t="s">
        <v>112</v>
      </c>
      <c r="J15" s="14" t="s">
        <v>113</v>
      </c>
      <c r="K15" s="15" t="s">
        <v>32</v>
      </c>
      <c r="L15" s="15" t="s">
        <v>32</v>
      </c>
      <c r="M15" s="16">
        <v>45.0</v>
      </c>
      <c r="N15" s="17" t="s">
        <v>111</v>
      </c>
      <c r="O15" s="25" t="s">
        <v>114</v>
      </c>
      <c r="Q15" s="19" t="s">
        <v>115</v>
      </c>
      <c r="R15" s="19" t="s">
        <v>116</v>
      </c>
      <c r="S15" s="20" t="s">
        <v>117</v>
      </c>
      <c r="T15" s="20" t="s">
        <v>118</v>
      </c>
      <c r="U15" s="21" t="s">
        <v>119</v>
      </c>
      <c r="V15" s="21" t="s">
        <v>120</v>
      </c>
      <c r="W15" s="22" t="s">
        <v>121</v>
      </c>
    </row>
    <row r="16">
      <c r="A16" s="9">
        <v>30.0</v>
      </c>
      <c r="B16" s="10">
        <f t="shared" si="1"/>
        <v>0.08333333333</v>
      </c>
      <c r="C16" s="11" t="s">
        <v>122</v>
      </c>
      <c r="D16" s="12" t="s">
        <v>18</v>
      </c>
      <c r="E16" s="12" t="s">
        <v>41</v>
      </c>
      <c r="F16" s="13" t="s">
        <v>107</v>
      </c>
      <c r="G16" s="13" t="s">
        <v>106</v>
      </c>
      <c r="I16" s="14" t="s">
        <v>123</v>
      </c>
      <c r="J16" s="14" t="s">
        <v>124</v>
      </c>
      <c r="K16" s="15" t="s">
        <v>18</v>
      </c>
      <c r="L16" s="15" t="s">
        <v>41</v>
      </c>
      <c r="M16" s="16">
        <v>30.0</v>
      </c>
      <c r="N16" s="17" t="s">
        <v>122</v>
      </c>
      <c r="O16" s="25" t="s">
        <v>125</v>
      </c>
      <c r="Q16" s="19" t="s">
        <v>126</v>
      </c>
      <c r="R16" s="19" t="s">
        <v>127</v>
      </c>
      <c r="S16" s="20" t="s">
        <v>128</v>
      </c>
      <c r="T16" s="20" t="s">
        <v>129</v>
      </c>
      <c r="U16" s="21" t="s">
        <v>119</v>
      </c>
      <c r="V16" s="21" t="s">
        <v>120</v>
      </c>
      <c r="W16" s="22" t="s">
        <v>121</v>
      </c>
    </row>
    <row r="17">
      <c r="A17" s="9">
        <v>0.0</v>
      </c>
      <c r="B17" s="10">
        <f t="shared" si="1"/>
        <v>0</v>
      </c>
      <c r="C17" s="11" t="s">
        <v>28</v>
      </c>
      <c r="D17" s="12" t="s">
        <v>27</v>
      </c>
      <c r="E17" s="12" t="s">
        <v>28</v>
      </c>
      <c r="F17" s="13" t="s">
        <v>27</v>
      </c>
      <c r="G17" s="13" t="s">
        <v>130</v>
      </c>
      <c r="I17" s="14" t="s">
        <v>131</v>
      </c>
      <c r="J17" s="14" t="s">
        <v>132</v>
      </c>
      <c r="K17" s="15" t="s">
        <v>27</v>
      </c>
      <c r="L17" s="15" t="s">
        <v>28</v>
      </c>
      <c r="M17" s="16">
        <v>0.0</v>
      </c>
      <c r="N17" s="17" t="s">
        <v>28</v>
      </c>
      <c r="O17" s="25" t="s">
        <v>133</v>
      </c>
      <c r="Q17" s="19" t="s">
        <v>134</v>
      </c>
      <c r="R17" s="19" t="s">
        <v>135</v>
      </c>
      <c r="S17" s="20" t="s">
        <v>50</v>
      </c>
      <c r="T17" s="20" t="s">
        <v>136</v>
      </c>
      <c r="U17" s="21" t="s">
        <v>137</v>
      </c>
      <c r="V17" s="21" t="s">
        <v>138</v>
      </c>
      <c r="W17" s="22" t="s">
        <v>139</v>
      </c>
    </row>
    <row r="18">
      <c r="A18" s="9">
        <v>-30.0</v>
      </c>
      <c r="B18" s="10">
        <f t="shared" si="1"/>
        <v>-0.08333333333</v>
      </c>
      <c r="C18" s="11" t="s">
        <v>140</v>
      </c>
      <c r="D18" s="12" t="s">
        <v>18</v>
      </c>
      <c r="E18" s="12" t="s">
        <v>19</v>
      </c>
      <c r="F18" s="13" t="s">
        <v>20</v>
      </c>
      <c r="G18" s="13" t="s">
        <v>21</v>
      </c>
      <c r="I18" s="26"/>
      <c r="J18" s="26"/>
      <c r="K18" s="27"/>
      <c r="L18" s="27"/>
      <c r="M18" s="27"/>
      <c r="N18" s="27"/>
      <c r="Q18" s="19" t="s">
        <v>141</v>
      </c>
      <c r="R18" s="19" t="s">
        <v>142</v>
      </c>
      <c r="S18" s="20" t="s">
        <v>143</v>
      </c>
      <c r="T18" s="20" t="s">
        <v>144</v>
      </c>
      <c r="U18" s="21" t="s">
        <v>137</v>
      </c>
      <c r="V18" s="21" t="s">
        <v>138</v>
      </c>
      <c r="W18" s="22" t="s">
        <v>139</v>
      </c>
    </row>
    <row r="19">
      <c r="A19" s="9">
        <v>-45.0</v>
      </c>
      <c r="B19" s="10">
        <f t="shared" si="1"/>
        <v>-0.125</v>
      </c>
      <c r="C19" s="11" t="s">
        <v>145</v>
      </c>
      <c r="D19" s="12" t="s">
        <v>32</v>
      </c>
      <c r="E19" s="12" t="s">
        <v>33</v>
      </c>
      <c r="F19" s="13" t="s">
        <v>34</v>
      </c>
      <c r="G19" s="13" t="s">
        <v>35</v>
      </c>
      <c r="I19" s="28" t="s">
        <v>146</v>
      </c>
      <c r="J19" s="28" t="s">
        <v>147</v>
      </c>
      <c r="K19" s="29" t="s">
        <v>148</v>
      </c>
      <c r="L19" s="29" t="s">
        <v>149</v>
      </c>
      <c r="M19" s="30"/>
      <c r="N19" s="27"/>
      <c r="P19" s="31"/>
      <c r="Q19" s="31"/>
      <c r="R19" s="31"/>
      <c r="S19" s="31"/>
      <c r="T19" s="31"/>
      <c r="U19" s="31"/>
    </row>
    <row r="20">
      <c r="A20" s="9">
        <v>-60.0</v>
      </c>
      <c r="B20" s="10">
        <f t="shared" si="1"/>
        <v>-0.1666666667</v>
      </c>
      <c r="C20" s="11" t="s">
        <v>150</v>
      </c>
      <c r="D20" s="12" t="s">
        <v>41</v>
      </c>
      <c r="E20" s="12" t="s">
        <v>42</v>
      </c>
      <c r="F20" s="13" t="s">
        <v>43</v>
      </c>
      <c r="G20" s="13" t="s">
        <v>151</v>
      </c>
      <c r="I20" s="32" t="s">
        <v>152</v>
      </c>
      <c r="J20" s="32" t="s">
        <v>153</v>
      </c>
      <c r="K20" s="33" t="s">
        <v>153</v>
      </c>
      <c r="L20" s="33" t="s">
        <v>154</v>
      </c>
      <c r="M20" s="30"/>
      <c r="N20" s="27"/>
      <c r="P20" s="31"/>
      <c r="Q20" s="31"/>
      <c r="R20" s="31"/>
      <c r="U20" s="31"/>
    </row>
    <row r="21">
      <c r="A21" s="9">
        <v>-90.0</v>
      </c>
      <c r="B21" s="10">
        <f t="shared" si="1"/>
        <v>-0.25</v>
      </c>
      <c r="C21" s="11" t="s">
        <v>155</v>
      </c>
      <c r="D21" s="12" t="s">
        <v>28</v>
      </c>
      <c r="E21" s="12" t="s">
        <v>49</v>
      </c>
      <c r="F21" s="13" t="s">
        <v>51</v>
      </c>
      <c r="G21" s="13" t="s">
        <v>49</v>
      </c>
      <c r="I21" s="32" t="s">
        <v>156</v>
      </c>
      <c r="J21" s="32" t="s">
        <v>157</v>
      </c>
      <c r="K21" s="33" t="s">
        <v>158</v>
      </c>
      <c r="L21" s="34"/>
      <c r="M21" s="30"/>
      <c r="N21" s="27"/>
      <c r="P21" s="31"/>
      <c r="Q21" s="31"/>
      <c r="R21" s="31"/>
      <c r="U21" s="31"/>
    </row>
    <row r="22">
      <c r="A22" s="9">
        <v>-120.0</v>
      </c>
      <c r="B22" s="10">
        <f t="shared" si="1"/>
        <v>-0.3333333333</v>
      </c>
      <c r="C22" s="11" t="s">
        <v>159</v>
      </c>
      <c r="D22" s="12" t="s">
        <v>19</v>
      </c>
      <c r="E22" s="12" t="s">
        <v>42</v>
      </c>
      <c r="F22" s="13" t="s">
        <v>56</v>
      </c>
      <c r="G22" s="13" t="s">
        <v>57</v>
      </c>
      <c r="I22" s="32" t="s">
        <v>160</v>
      </c>
      <c r="J22" s="32" t="s">
        <v>161</v>
      </c>
      <c r="K22" s="33" t="s">
        <v>161</v>
      </c>
      <c r="L22" s="34"/>
      <c r="M22" s="30"/>
      <c r="N22" s="27"/>
      <c r="P22" s="31"/>
      <c r="Q22" s="31"/>
      <c r="R22" s="31"/>
      <c r="U22" s="31"/>
    </row>
    <row r="23">
      <c r="A23" s="9">
        <v>-135.0</v>
      </c>
      <c r="B23" s="10">
        <f t="shared" si="1"/>
        <v>-0.375</v>
      </c>
      <c r="C23" s="11" t="s">
        <v>162</v>
      </c>
      <c r="D23" s="12" t="s">
        <v>33</v>
      </c>
      <c r="E23" s="12" t="s">
        <v>33</v>
      </c>
      <c r="F23" s="13" t="s">
        <v>35</v>
      </c>
      <c r="G23" s="13" t="s">
        <v>62</v>
      </c>
      <c r="I23" s="32" t="s">
        <v>163</v>
      </c>
      <c r="J23" s="32" t="s">
        <v>164</v>
      </c>
      <c r="K23" s="33" t="s">
        <v>165</v>
      </c>
      <c r="L23" s="34"/>
      <c r="M23" s="30"/>
      <c r="N23" s="27"/>
      <c r="P23" s="31"/>
      <c r="Q23" s="31"/>
      <c r="R23" s="31"/>
      <c r="U23" s="31"/>
    </row>
    <row r="24">
      <c r="A24" s="9">
        <v>-150.0</v>
      </c>
      <c r="B24" s="10">
        <f t="shared" si="1"/>
        <v>-0.4166666667</v>
      </c>
      <c r="C24" s="11" t="s">
        <v>166</v>
      </c>
      <c r="D24" s="12" t="s">
        <v>42</v>
      </c>
      <c r="E24" s="12" t="s">
        <v>19</v>
      </c>
      <c r="F24" s="13" t="s">
        <v>57</v>
      </c>
      <c r="G24" s="13" t="s">
        <v>56</v>
      </c>
      <c r="I24" s="32" t="s">
        <v>167</v>
      </c>
      <c r="J24" s="32" t="s">
        <v>168</v>
      </c>
      <c r="K24" s="33" t="s">
        <v>168</v>
      </c>
      <c r="L24" s="33" t="s">
        <v>169</v>
      </c>
      <c r="M24" s="30"/>
      <c r="N24" s="27"/>
      <c r="P24" s="31"/>
      <c r="Q24" s="31"/>
      <c r="R24" s="31"/>
      <c r="U24" s="31"/>
    </row>
    <row r="25">
      <c r="A25" s="9">
        <v>-180.0</v>
      </c>
      <c r="B25" s="10">
        <f t="shared" si="1"/>
        <v>-0.5</v>
      </c>
      <c r="C25" s="11" t="s">
        <v>19</v>
      </c>
      <c r="D25" s="12" t="s">
        <v>49</v>
      </c>
      <c r="E25" s="12" t="s">
        <v>28</v>
      </c>
      <c r="F25" s="13" t="s">
        <v>49</v>
      </c>
      <c r="G25" s="13" t="s">
        <v>170</v>
      </c>
      <c r="I25" s="26"/>
      <c r="J25" s="26"/>
      <c r="M25" s="27"/>
      <c r="N25" s="27"/>
      <c r="P25" s="31"/>
      <c r="Q25" s="31"/>
      <c r="R25" s="31"/>
      <c r="U25" s="31"/>
    </row>
    <row r="26">
      <c r="A26" s="9">
        <v>-210.0</v>
      </c>
      <c r="B26" s="10">
        <f t="shared" si="1"/>
        <v>-0.5833333333</v>
      </c>
      <c r="C26" s="11" t="s">
        <v>171</v>
      </c>
      <c r="D26" s="12" t="s">
        <v>42</v>
      </c>
      <c r="E26" s="12" t="s">
        <v>41</v>
      </c>
      <c r="F26" s="13" t="s">
        <v>44</v>
      </c>
      <c r="G26" s="13" t="s">
        <v>43</v>
      </c>
      <c r="I26" s="28" t="s">
        <v>172</v>
      </c>
      <c r="J26" s="28" t="s">
        <v>173</v>
      </c>
      <c r="K26" s="29" t="s">
        <v>174</v>
      </c>
      <c r="L26" s="29" t="s">
        <v>175</v>
      </c>
      <c r="M26" s="28" t="s">
        <v>176</v>
      </c>
      <c r="N26" s="28" t="s">
        <v>177</v>
      </c>
    </row>
    <row r="27">
      <c r="A27" s="9">
        <v>-225.0</v>
      </c>
      <c r="B27" s="10">
        <f t="shared" si="1"/>
        <v>-0.625</v>
      </c>
      <c r="C27" s="11" t="s">
        <v>178</v>
      </c>
      <c r="D27" s="12" t="s">
        <v>33</v>
      </c>
      <c r="E27" s="12" t="s">
        <v>32</v>
      </c>
      <c r="F27" s="13" t="s">
        <v>62</v>
      </c>
      <c r="G27" s="13" t="s">
        <v>84</v>
      </c>
      <c r="I27" s="32" t="s">
        <v>179</v>
      </c>
      <c r="J27" s="32" t="s">
        <v>17</v>
      </c>
      <c r="K27" s="33" t="s">
        <v>180</v>
      </c>
      <c r="L27" s="33">
        <v>7.0</v>
      </c>
      <c r="M27" s="32" t="s">
        <v>181</v>
      </c>
      <c r="N27" s="32" t="s">
        <v>182</v>
      </c>
    </row>
    <row r="28">
      <c r="A28" s="9">
        <v>-240.0</v>
      </c>
      <c r="B28" s="10">
        <f t="shared" si="1"/>
        <v>-0.6666666667</v>
      </c>
      <c r="C28" s="11" t="s">
        <v>183</v>
      </c>
      <c r="D28" s="12" t="s">
        <v>19</v>
      </c>
      <c r="E28" s="12" t="s">
        <v>18</v>
      </c>
      <c r="F28" s="13" t="s">
        <v>21</v>
      </c>
      <c r="G28" s="13" t="s">
        <v>20</v>
      </c>
      <c r="I28" s="32" t="s">
        <v>184</v>
      </c>
      <c r="J28" s="32" t="s">
        <v>185</v>
      </c>
      <c r="K28" s="33" t="s">
        <v>38</v>
      </c>
      <c r="L28" s="33">
        <v>113.0</v>
      </c>
      <c r="M28" s="32" t="s">
        <v>186</v>
      </c>
      <c r="N28" s="32" t="s">
        <v>187</v>
      </c>
    </row>
    <row r="29">
      <c r="A29" s="9">
        <v>-270.0</v>
      </c>
      <c r="B29" s="10">
        <f t="shared" si="1"/>
        <v>-0.75</v>
      </c>
      <c r="C29" s="11" t="s">
        <v>143</v>
      </c>
      <c r="D29" s="12" t="s">
        <v>28</v>
      </c>
      <c r="E29" s="12" t="s">
        <v>27</v>
      </c>
      <c r="F29" s="13" t="s">
        <v>188</v>
      </c>
      <c r="G29" s="13" t="s">
        <v>27</v>
      </c>
      <c r="I29" s="32" t="s">
        <v>189</v>
      </c>
      <c r="J29" s="32" t="s">
        <v>40</v>
      </c>
      <c r="K29" s="33" t="s">
        <v>47</v>
      </c>
      <c r="L29" s="33">
        <v>1732.0</v>
      </c>
      <c r="M29" s="32" t="s">
        <v>190</v>
      </c>
      <c r="N29" s="32" t="s">
        <v>191</v>
      </c>
    </row>
    <row r="30">
      <c r="A30" s="9">
        <v>-300.0</v>
      </c>
      <c r="B30" s="10">
        <f t="shared" si="1"/>
        <v>-0.8333333333</v>
      </c>
      <c r="C30" s="11" t="s">
        <v>192</v>
      </c>
      <c r="D30" s="12" t="s">
        <v>41</v>
      </c>
      <c r="E30" s="12" t="s">
        <v>18</v>
      </c>
      <c r="F30" s="13" t="s">
        <v>106</v>
      </c>
      <c r="G30" s="13" t="s">
        <v>107</v>
      </c>
      <c r="I30" s="32" t="s">
        <v>193</v>
      </c>
      <c r="J30" s="32" t="s">
        <v>50</v>
      </c>
      <c r="K30" s="33" t="s">
        <v>54</v>
      </c>
      <c r="L30" s="33">
        <v>1627.0</v>
      </c>
      <c r="M30" s="32" t="s">
        <v>194</v>
      </c>
      <c r="N30" s="32" t="s">
        <v>195</v>
      </c>
    </row>
    <row r="31">
      <c r="A31" s="9">
        <v>-315.0</v>
      </c>
      <c r="B31" s="10">
        <f t="shared" si="1"/>
        <v>-0.875</v>
      </c>
      <c r="C31" s="11" t="s">
        <v>196</v>
      </c>
      <c r="D31" s="12" t="s">
        <v>32</v>
      </c>
      <c r="E31" s="12" t="s">
        <v>32</v>
      </c>
      <c r="F31" s="13" t="s">
        <v>84</v>
      </c>
      <c r="G31" s="13" t="s">
        <v>34</v>
      </c>
      <c r="I31" s="32" t="s">
        <v>197</v>
      </c>
      <c r="J31" s="32" t="s">
        <v>55</v>
      </c>
      <c r="K31" s="33" t="s">
        <v>60</v>
      </c>
      <c r="L31" s="33">
        <v>1799.0</v>
      </c>
      <c r="M31" s="32" t="s">
        <v>198</v>
      </c>
      <c r="N31" s="32" t="s">
        <v>199</v>
      </c>
    </row>
    <row r="32">
      <c r="A32" s="9">
        <v>-330.0</v>
      </c>
      <c r="B32" s="10">
        <f t="shared" si="1"/>
        <v>-0.9166666667</v>
      </c>
      <c r="C32" s="11" t="s">
        <v>200</v>
      </c>
      <c r="D32" s="12" t="s">
        <v>18</v>
      </c>
      <c r="E32" s="12" t="s">
        <v>41</v>
      </c>
      <c r="F32" s="13" t="s">
        <v>107</v>
      </c>
      <c r="G32" s="13" t="s">
        <v>106</v>
      </c>
      <c r="I32" s="32" t="s">
        <v>201</v>
      </c>
      <c r="J32" s="32" t="s">
        <v>61</v>
      </c>
      <c r="K32" s="33" t="s">
        <v>65</v>
      </c>
      <c r="L32" s="33">
        <v>113.0</v>
      </c>
      <c r="M32" s="32" t="s">
        <v>186</v>
      </c>
      <c r="N32" s="32" t="s">
        <v>187</v>
      </c>
    </row>
    <row r="33">
      <c r="I33" s="33" t="s">
        <v>202</v>
      </c>
      <c r="J33" s="33">
        <v>2.5555555E7</v>
      </c>
      <c r="K33" s="33" t="s">
        <v>73</v>
      </c>
      <c r="L33" s="33">
        <v>1732.0</v>
      </c>
      <c r="M33" s="33" t="s">
        <v>190</v>
      </c>
      <c r="N33" s="33" t="s">
        <v>191</v>
      </c>
    </row>
    <row r="34">
      <c r="I34" s="33" t="s">
        <v>203</v>
      </c>
      <c r="J34" s="33">
        <v>2.0E7</v>
      </c>
      <c r="K34" s="33" t="s">
        <v>78</v>
      </c>
      <c r="L34" s="33">
        <v>1627.0</v>
      </c>
      <c r="M34" s="33" t="s">
        <v>194</v>
      </c>
      <c r="N34" s="33" t="s">
        <v>195</v>
      </c>
    </row>
    <row r="35">
      <c r="I35" s="33" t="s">
        <v>204</v>
      </c>
      <c r="J35" s="33" t="s">
        <v>79</v>
      </c>
      <c r="K35" s="33" t="s">
        <v>82</v>
      </c>
      <c r="L35" s="33">
        <v>1799.0</v>
      </c>
      <c r="M35" s="33" t="s">
        <v>205</v>
      </c>
      <c r="N35" s="33" t="s">
        <v>199</v>
      </c>
    </row>
    <row r="36">
      <c r="I36" s="33" t="s">
        <v>206</v>
      </c>
      <c r="J36" s="33">
        <v>1.8E7</v>
      </c>
      <c r="K36" s="33" t="s">
        <v>87</v>
      </c>
      <c r="L36" s="33">
        <v>113.0</v>
      </c>
      <c r="M36" s="33" t="s">
        <v>186</v>
      </c>
      <c r="N36" s="33" t="s">
        <v>187</v>
      </c>
    </row>
    <row r="37">
      <c r="I37" s="33" t="s">
        <v>207</v>
      </c>
      <c r="J37" s="33">
        <v>1.5555555E7</v>
      </c>
      <c r="K37" s="33" t="s">
        <v>96</v>
      </c>
      <c r="L37" s="33">
        <v>1732.0</v>
      </c>
      <c r="M37" s="33" t="s">
        <v>190</v>
      </c>
      <c r="N37" s="33" t="s">
        <v>191</v>
      </c>
    </row>
    <row r="38">
      <c r="I38" s="33" t="s">
        <v>208</v>
      </c>
      <c r="J38" s="33">
        <v>1.0E7</v>
      </c>
      <c r="K38" s="33" t="s">
        <v>102</v>
      </c>
      <c r="L38" s="33">
        <v>1627.0</v>
      </c>
      <c r="M38" s="33" t="s">
        <v>194</v>
      </c>
      <c r="N38" s="33" t="s">
        <v>195</v>
      </c>
    </row>
    <row r="39">
      <c r="I39" s="33" t="s">
        <v>209</v>
      </c>
      <c r="J39" s="33" t="s">
        <v>105</v>
      </c>
      <c r="K39" s="33" t="s">
        <v>110</v>
      </c>
      <c r="L39" s="33">
        <v>1799.0</v>
      </c>
      <c r="M39" s="33" t="s">
        <v>198</v>
      </c>
      <c r="N39" s="33" t="s">
        <v>199</v>
      </c>
    </row>
    <row r="40">
      <c r="I40" s="33" t="s">
        <v>210</v>
      </c>
      <c r="J40" s="33">
        <v>8000000.0</v>
      </c>
      <c r="K40" s="33" t="s">
        <v>114</v>
      </c>
      <c r="L40" s="33">
        <v>113.0</v>
      </c>
      <c r="M40" s="33" t="s">
        <v>186</v>
      </c>
      <c r="N40" s="33" t="s">
        <v>187</v>
      </c>
    </row>
    <row r="41">
      <c r="I41" s="33" t="s">
        <v>211</v>
      </c>
      <c r="J41" s="33">
        <v>5555555.0</v>
      </c>
      <c r="K41" s="33" t="s">
        <v>125</v>
      </c>
      <c r="L41" s="33">
        <v>1732.0</v>
      </c>
      <c r="M41" s="33" t="s">
        <v>190</v>
      </c>
      <c r="N41" s="33" t="s">
        <v>191</v>
      </c>
    </row>
    <row r="42">
      <c r="I42" s="33" t="s">
        <v>212</v>
      </c>
      <c r="J42" s="33">
        <v>0.0</v>
      </c>
      <c r="K42" s="33" t="s">
        <v>133</v>
      </c>
      <c r="L42" s="33">
        <v>1627.0</v>
      </c>
      <c r="M42" s="33" t="s">
        <v>194</v>
      </c>
      <c r="N42" s="33" t="s">
        <v>195</v>
      </c>
    </row>
    <row r="43">
      <c r="I43" s="34"/>
      <c r="J43" s="34"/>
      <c r="K43" s="34"/>
    </row>
    <row r="44">
      <c r="I44" s="29" t="s">
        <v>146</v>
      </c>
      <c r="J44" s="29" t="s">
        <v>213</v>
      </c>
      <c r="K44" s="34"/>
    </row>
    <row r="45">
      <c r="I45" s="33" t="s">
        <v>214</v>
      </c>
      <c r="J45" s="33" t="s">
        <v>215</v>
      </c>
      <c r="K45" s="34"/>
    </row>
    <row r="46">
      <c r="I46" s="33" t="s">
        <v>216</v>
      </c>
      <c r="J46" s="33" t="s">
        <v>217</v>
      </c>
      <c r="K46" s="34"/>
    </row>
    <row r="47">
      <c r="I47" s="33" t="s">
        <v>163</v>
      </c>
      <c r="J47" s="33" t="s">
        <v>218</v>
      </c>
      <c r="K47" s="3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35" t="s">
        <v>219</v>
      </c>
      <c r="D1" s="35"/>
      <c r="E1" s="35"/>
      <c r="G1" s="35" t="s">
        <v>220</v>
      </c>
      <c r="H1" s="35"/>
    </row>
    <row r="2">
      <c r="C2" s="35" t="s">
        <v>7</v>
      </c>
      <c r="D2" s="35" t="s">
        <v>8</v>
      </c>
      <c r="E2" s="35" t="s">
        <v>221</v>
      </c>
      <c r="G2" s="35" t="s">
        <v>7</v>
      </c>
      <c r="H2" s="35" t="s">
        <v>8</v>
      </c>
      <c r="I2" s="35" t="s">
        <v>14</v>
      </c>
    </row>
    <row r="3">
      <c r="A3" s="35">
        <v>0.0</v>
      </c>
      <c r="B3" s="35">
        <v>0.0</v>
      </c>
      <c r="E3" s="35">
        <v>0.0</v>
      </c>
      <c r="G3" s="35">
        <v>1.0</v>
      </c>
      <c r="H3" s="35">
        <v>0.0</v>
      </c>
      <c r="I3" s="35">
        <v>1.0</v>
      </c>
    </row>
    <row r="4">
      <c r="A4" s="35">
        <v>30.0</v>
      </c>
      <c r="B4" s="35">
        <v>1.124419808E9</v>
      </c>
      <c r="E4" s="36" t="str">
        <f t="shared" ref="E4:E14" si="1">dec2hex(B4)</f>
        <v>430548E0</v>
      </c>
      <c r="G4" s="35">
        <v>0.0</v>
      </c>
      <c r="H4" s="35">
        <v>1.0</v>
      </c>
      <c r="I4" s="35">
        <v>1.0</v>
      </c>
    </row>
    <row r="5">
      <c r="A5" s="35">
        <v>45.0</v>
      </c>
      <c r="B5" s="35">
        <v>1.686629713E9</v>
      </c>
      <c r="E5" s="36" t="str">
        <f t="shared" si="1"/>
        <v>6487ED51</v>
      </c>
      <c r="G5" s="35">
        <v>-1.0</v>
      </c>
      <c r="H5" s="35">
        <v>0.0</v>
      </c>
      <c r="I5" s="35">
        <v>1.0</v>
      </c>
    </row>
    <row r="6">
      <c r="A6" s="35">
        <v>60.0</v>
      </c>
      <c r="B6" s="35">
        <v>2.248839617E9</v>
      </c>
      <c r="E6" s="36" t="str">
        <f t="shared" si="1"/>
        <v>860A91C1</v>
      </c>
      <c r="G6" s="35">
        <v>0.0</v>
      </c>
      <c r="H6" s="35">
        <v>-1.0</v>
      </c>
      <c r="I6" s="35">
        <v>1.0</v>
      </c>
    </row>
    <row r="7">
      <c r="A7" s="35">
        <v>90.0</v>
      </c>
      <c r="B7" s="35">
        <v>3.373259426E9</v>
      </c>
      <c r="E7" s="36" t="str">
        <f t="shared" si="1"/>
        <v>C90FDAA2</v>
      </c>
      <c r="F7" s="35" t="s">
        <v>222</v>
      </c>
      <c r="G7" s="35">
        <v>0.0</v>
      </c>
      <c r="H7" s="35">
        <v>0.0</v>
      </c>
      <c r="I7" s="35">
        <v>0.0</v>
      </c>
    </row>
    <row r="8">
      <c r="A8" s="35">
        <v>-30.0</v>
      </c>
      <c r="B8" s="35">
        <v>-1.124419808E9</v>
      </c>
      <c r="E8" s="36" t="str">
        <f t="shared" si="1"/>
        <v>FFBCFAB720</v>
      </c>
      <c r="G8" s="35">
        <v>1.0</v>
      </c>
      <c r="H8" s="35">
        <v>-1.0</v>
      </c>
      <c r="I8" s="35">
        <v>0.0</v>
      </c>
    </row>
    <row r="9">
      <c r="A9" s="35">
        <v>-45.0</v>
      </c>
      <c r="B9" s="35">
        <v>-1.686629713E9</v>
      </c>
      <c r="E9" s="36" t="str">
        <f t="shared" si="1"/>
        <v>FF9B7812AF</v>
      </c>
      <c r="G9" s="35">
        <v>-1.0</v>
      </c>
      <c r="H9" s="35">
        <v>1.0</v>
      </c>
      <c r="I9" s="35">
        <v>0.0</v>
      </c>
    </row>
    <row r="10">
      <c r="A10" s="35">
        <v>-60.0</v>
      </c>
      <c r="B10" s="35">
        <v>-2.248839617E9</v>
      </c>
      <c r="E10" s="36" t="str">
        <f t="shared" si="1"/>
        <v>FF79F56E3F</v>
      </c>
      <c r="G10" s="35" t="s">
        <v>66</v>
      </c>
      <c r="H10" s="35" t="s">
        <v>66</v>
      </c>
      <c r="I10" s="37" t="s">
        <v>67</v>
      </c>
    </row>
    <row r="11">
      <c r="A11" s="35">
        <v>-90.0</v>
      </c>
      <c r="B11" s="35">
        <v>-3.373259426E9</v>
      </c>
      <c r="E11" s="36" t="str">
        <f t="shared" si="1"/>
        <v>FF36F0255E</v>
      </c>
      <c r="G11" s="35" t="s">
        <v>74</v>
      </c>
      <c r="H11" s="35" t="s">
        <v>66</v>
      </c>
      <c r="I11" s="37" t="s">
        <v>67</v>
      </c>
    </row>
    <row r="12">
      <c r="A12" s="35">
        <v>180.0</v>
      </c>
      <c r="B12" s="35">
        <v>6.746518852E9</v>
      </c>
      <c r="E12" s="36" t="str">
        <f t="shared" si="1"/>
        <v>1921FB544</v>
      </c>
      <c r="G12" s="35" t="s">
        <v>66</v>
      </c>
      <c r="H12" s="35" t="s">
        <v>74</v>
      </c>
      <c r="I12" s="37" t="s">
        <v>67</v>
      </c>
    </row>
    <row r="13">
      <c r="A13" s="35">
        <v>270.0</v>
      </c>
      <c r="E13" s="36" t="str">
        <f t="shared" si="1"/>
        <v>0</v>
      </c>
      <c r="G13" s="35" t="s">
        <v>74</v>
      </c>
      <c r="H13" s="35" t="s">
        <v>74</v>
      </c>
      <c r="I13" s="37" t="s">
        <v>67</v>
      </c>
    </row>
    <row r="14">
      <c r="A14" s="35">
        <v>-180.0</v>
      </c>
      <c r="E14" s="36" t="str">
        <f t="shared" si="1"/>
        <v>0</v>
      </c>
      <c r="G14" s="37" t="s">
        <v>88</v>
      </c>
      <c r="H14" s="37" t="s">
        <v>66</v>
      </c>
      <c r="I14" s="31"/>
    </row>
    <row r="15">
      <c r="G15" s="37" t="s">
        <v>88</v>
      </c>
      <c r="H15" s="37" t="s">
        <v>74</v>
      </c>
      <c r="I15" s="31"/>
    </row>
    <row r="16">
      <c r="G16" s="37" t="s">
        <v>103</v>
      </c>
      <c r="H16" s="37" t="s">
        <v>66</v>
      </c>
      <c r="I16" s="31"/>
    </row>
    <row r="17">
      <c r="G17" s="37" t="s">
        <v>103</v>
      </c>
      <c r="H17" s="37" t="s">
        <v>74</v>
      </c>
      <c r="I17" s="31"/>
    </row>
    <row r="18">
      <c r="G18" s="38"/>
      <c r="H18" s="38"/>
    </row>
    <row r="19">
      <c r="G19" s="38"/>
      <c r="H19" s="38"/>
    </row>
    <row r="20">
      <c r="G20" s="38"/>
      <c r="H20" s="38"/>
    </row>
    <row r="21">
      <c r="G21" s="38"/>
      <c r="H21" s="38"/>
    </row>
    <row r="22">
      <c r="G22" s="38"/>
      <c r="H22" s="38"/>
    </row>
    <row r="23">
      <c r="G23" s="38"/>
      <c r="H23" s="38"/>
    </row>
    <row r="24">
      <c r="G24" s="38"/>
      <c r="H24" s="38"/>
    </row>
    <row r="25">
      <c r="G25" s="38"/>
      <c r="H25" s="38"/>
    </row>
    <row r="26">
      <c r="G26" s="38"/>
      <c r="H26" s="38"/>
    </row>
    <row r="27">
      <c r="G27" s="38"/>
      <c r="H27" s="38"/>
    </row>
    <row r="28">
      <c r="G28" s="38"/>
      <c r="H28" s="38"/>
    </row>
    <row r="29">
      <c r="G29" s="38"/>
      <c r="H29" s="38"/>
    </row>
    <row r="30">
      <c r="G30" s="38"/>
      <c r="H30" s="38"/>
    </row>
    <row r="31">
      <c r="G31" s="38"/>
      <c r="H31" s="38"/>
    </row>
    <row r="32">
      <c r="G32" s="38"/>
      <c r="H32" s="38"/>
    </row>
    <row r="33">
      <c r="G33" s="38"/>
      <c r="H33" s="38"/>
    </row>
    <row r="34">
      <c r="G34" s="38"/>
      <c r="H34" s="38"/>
    </row>
    <row r="35">
      <c r="G35" s="38"/>
      <c r="H35" s="38"/>
    </row>
    <row r="36">
      <c r="G36" s="38"/>
      <c r="H36" s="38"/>
    </row>
    <row r="37">
      <c r="G37" s="38"/>
      <c r="H37" s="38"/>
    </row>
    <row r="38">
      <c r="G38" s="38"/>
      <c r="H38" s="38"/>
    </row>
    <row r="39">
      <c r="G39" s="38"/>
      <c r="H39" s="38"/>
    </row>
    <row r="40">
      <c r="G40" s="38"/>
      <c r="H40" s="38"/>
    </row>
    <row r="41">
      <c r="G41" s="38"/>
      <c r="H41" s="38"/>
    </row>
    <row r="42">
      <c r="G42" s="38"/>
      <c r="H42" s="38"/>
    </row>
    <row r="43">
      <c r="G43" s="38"/>
      <c r="H43" s="38"/>
    </row>
    <row r="44">
      <c r="G44" s="38"/>
      <c r="H44" s="38"/>
    </row>
    <row r="45">
      <c r="G45" s="38"/>
      <c r="H45" s="38"/>
    </row>
    <row r="46">
      <c r="G46" s="38"/>
      <c r="H46" s="38"/>
    </row>
    <row r="47">
      <c r="G47" s="38"/>
      <c r="H47" s="38"/>
    </row>
    <row r="48">
      <c r="G48" s="38"/>
      <c r="H48" s="38"/>
    </row>
    <row r="49">
      <c r="G49" s="38"/>
      <c r="H49" s="38"/>
    </row>
    <row r="50">
      <c r="G50" s="38"/>
      <c r="H50" s="38"/>
    </row>
    <row r="51">
      <c r="G51" s="38"/>
      <c r="H51" s="38"/>
    </row>
    <row r="52">
      <c r="G52" s="38"/>
      <c r="H52" s="38"/>
    </row>
    <row r="53">
      <c r="G53" s="38"/>
      <c r="H53" s="38"/>
    </row>
    <row r="54">
      <c r="G54" s="38"/>
      <c r="H54" s="38"/>
    </row>
    <row r="55">
      <c r="G55" s="38"/>
      <c r="H55" s="38"/>
    </row>
    <row r="56">
      <c r="G56" s="38"/>
      <c r="H56" s="38"/>
    </row>
    <row r="57">
      <c r="G57" s="38"/>
      <c r="H57" s="38"/>
    </row>
    <row r="58">
      <c r="G58" s="38"/>
      <c r="H58" s="38"/>
    </row>
    <row r="59">
      <c r="G59" s="38"/>
      <c r="H59" s="38"/>
    </row>
    <row r="60">
      <c r="G60" s="38"/>
      <c r="H60" s="38"/>
    </row>
    <row r="61">
      <c r="G61" s="38"/>
      <c r="H61" s="38"/>
    </row>
    <row r="62">
      <c r="G62" s="38"/>
      <c r="H62" s="38"/>
    </row>
    <row r="63">
      <c r="G63" s="38"/>
      <c r="H63" s="38"/>
    </row>
    <row r="64">
      <c r="G64" s="38"/>
      <c r="H64" s="38"/>
    </row>
    <row r="65">
      <c r="G65" s="38"/>
      <c r="H65" s="38"/>
    </row>
    <row r="66">
      <c r="G66" s="38"/>
      <c r="H66" s="38"/>
    </row>
    <row r="67">
      <c r="G67" s="38"/>
      <c r="H67" s="38"/>
    </row>
    <row r="68">
      <c r="G68" s="38"/>
      <c r="H68" s="38"/>
    </row>
    <row r="69">
      <c r="G69" s="38"/>
      <c r="H69" s="38"/>
    </row>
    <row r="70">
      <c r="G70" s="38"/>
      <c r="H70" s="38"/>
    </row>
    <row r="71">
      <c r="G71" s="38"/>
      <c r="H71" s="38"/>
    </row>
    <row r="72">
      <c r="G72" s="38"/>
      <c r="H72" s="38"/>
    </row>
    <row r="73">
      <c r="G73" s="38"/>
      <c r="H73" s="38"/>
    </row>
    <row r="74">
      <c r="G74" s="38"/>
      <c r="H74" s="38"/>
    </row>
    <row r="75">
      <c r="G75" s="38"/>
      <c r="H75" s="38"/>
    </row>
    <row r="76">
      <c r="G76" s="38"/>
      <c r="H76" s="38"/>
    </row>
    <row r="77">
      <c r="G77" s="38"/>
      <c r="H77" s="38"/>
    </row>
    <row r="78">
      <c r="G78" s="38"/>
      <c r="H78" s="38"/>
    </row>
    <row r="79">
      <c r="G79" s="38"/>
      <c r="H79" s="38"/>
    </row>
    <row r="80">
      <c r="G80" s="38"/>
      <c r="H80" s="38"/>
    </row>
    <row r="81">
      <c r="G81" s="38"/>
      <c r="H81" s="38"/>
    </row>
    <row r="82">
      <c r="G82" s="38"/>
      <c r="H82" s="38"/>
    </row>
    <row r="83">
      <c r="G83" s="38"/>
      <c r="H83" s="38"/>
    </row>
    <row r="84">
      <c r="G84" s="38"/>
      <c r="H84" s="38"/>
    </row>
    <row r="85">
      <c r="G85" s="38"/>
      <c r="H85" s="38"/>
    </row>
    <row r="86">
      <c r="G86" s="38"/>
      <c r="H86" s="38"/>
    </row>
    <row r="87">
      <c r="G87" s="38"/>
      <c r="H87" s="38"/>
    </row>
    <row r="88">
      <c r="G88" s="38"/>
      <c r="H88" s="38"/>
    </row>
    <row r="89">
      <c r="G89" s="38"/>
      <c r="H89" s="38"/>
    </row>
    <row r="90">
      <c r="G90" s="38"/>
      <c r="H90" s="38"/>
    </row>
    <row r="91">
      <c r="G91" s="38"/>
      <c r="H91" s="38"/>
    </row>
    <row r="92">
      <c r="G92" s="38"/>
      <c r="H92" s="38"/>
    </row>
    <row r="93">
      <c r="G93" s="38"/>
      <c r="H93" s="38"/>
    </row>
    <row r="94">
      <c r="G94" s="38"/>
      <c r="H94" s="38"/>
    </row>
    <row r="95">
      <c r="G95" s="38"/>
      <c r="H95" s="38"/>
    </row>
    <row r="96">
      <c r="G96" s="38"/>
      <c r="H96" s="38"/>
    </row>
    <row r="97">
      <c r="G97" s="38"/>
      <c r="H97" s="38"/>
    </row>
    <row r="98">
      <c r="G98" s="38"/>
      <c r="H98" s="38"/>
    </row>
    <row r="99">
      <c r="G99" s="38"/>
      <c r="H99" s="38"/>
    </row>
    <row r="100">
      <c r="G100" s="38"/>
      <c r="H100" s="38"/>
    </row>
    <row r="101">
      <c r="G101" s="38"/>
      <c r="H101" s="38"/>
    </row>
    <row r="102">
      <c r="G102" s="38"/>
      <c r="H102" s="38"/>
    </row>
    <row r="103">
      <c r="G103" s="38"/>
      <c r="H103" s="38"/>
    </row>
    <row r="104">
      <c r="G104" s="38"/>
      <c r="H104" s="38"/>
    </row>
    <row r="105">
      <c r="G105" s="38"/>
      <c r="H105" s="38"/>
    </row>
    <row r="106">
      <c r="G106" s="38"/>
      <c r="H106" s="38"/>
    </row>
    <row r="107">
      <c r="G107" s="38"/>
      <c r="H107" s="38"/>
    </row>
    <row r="108">
      <c r="G108" s="38"/>
      <c r="H108" s="38"/>
    </row>
    <row r="109">
      <c r="G109" s="38"/>
      <c r="H109" s="38"/>
    </row>
    <row r="110">
      <c r="G110" s="38"/>
      <c r="H110" s="38"/>
    </row>
    <row r="111">
      <c r="G111" s="38"/>
      <c r="H111" s="38"/>
    </row>
    <row r="112">
      <c r="G112" s="38"/>
      <c r="H112" s="38"/>
    </row>
    <row r="113">
      <c r="G113" s="38"/>
      <c r="H113" s="38"/>
    </row>
    <row r="114">
      <c r="G114" s="38"/>
      <c r="H114" s="38"/>
    </row>
    <row r="115">
      <c r="G115" s="38"/>
      <c r="H115" s="38"/>
    </row>
    <row r="116">
      <c r="G116" s="38"/>
      <c r="H116" s="38"/>
    </row>
    <row r="117">
      <c r="G117" s="38"/>
      <c r="H117" s="38"/>
    </row>
    <row r="118">
      <c r="G118" s="38"/>
      <c r="H118" s="38"/>
    </row>
    <row r="119">
      <c r="G119" s="38"/>
      <c r="H119" s="38"/>
    </row>
    <row r="120">
      <c r="G120" s="38"/>
      <c r="H120" s="38"/>
    </row>
    <row r="121">
      <c r="G121" s="38"/>
      <c r="H121" s="38"/>
    </row>
    <row r="122">
      <c r="G122" s="38"/>
      <c r="H122" s="38"/>
    </row>
    <row r="123">
      <c r="G123" s="38"/>
      <c r="H123" s="38"/>
    </row>
    <row r="124">
      <c r="G124" s="38"/>
      <c r="H124" s="38"/>
    </row>
    <row r="125">
      <c r="G125" s="38"/>
      <c r="H125" s="38"/>
    </row>
    <row r="126">
      <c r="G126" s="38"/>
      <c r="H126" s="38"/>
    </row>
    <row r="127">
      <c r="G127" s="38"/>
      <c r="H127" s="38"/>
    </row>
    <row r="128">
      <c r="G128" s="38"/>
      <c r="H128" s="38"/>
    </row>
    <row r="129">
      <c r="G129" s="38"/>
      <c r="H129" s="38"/>
    </row>
    <row r="130">
      <c r="G130" s="38"/>
      <c r="H130" s="38"/>
    </row>
    <row r="131">
      <c r="G131" s="38"/>
      <c r="H131" s="38"/>
    </row>
    <row r="132">
      <c r="G132" s="38"/>
      <c r="H132" s="38"/>
    </row>
    <row r="133">
      <c r="G133" s="38"/>
      <c r="H133" s="38"/>
    </row>
    <row r="134">
      <c r="G134" s="38"/>
      <c r="H134" s="38"/>
    </row>
    <row r="135">
      <c r="G135" s="38"/>
      <c r="H135" s="38"/>
    </row>
    <row r="136">
      <c r="G136" s="38"/>
      <c r="H136" s="38"/>
    </row>
    <row r="137">
      <c r="G137" s="38"/>
      <c r="H137" s="38"/>
    </row>
    <row r="138">
      <c r="G138" s="38"/>
      <c r="H138" s="38"/>
    </row>
    <row r="139">
      <c r="G139" s="38"/>
      <c r="H139" s="38"/>
    </row>
    <row r="140">
      <c r="G140" s="38"/>
      <c r="H140" s="38"/>
    </row>
    <row r="141">
      <c r="G141" s="38"/>
      <c r="H141" s="38"/>
    </row>
    <row r="142">
      <c r="G142" s="38"/>
      <c r="H142" s="38"/>
    </row>
    <row r="143">
      <c r="G143" s="38"/>
      <c r="H143" s="38"/>
    </row>
    <row r="144">
      <c r="G144" s="38"/>
      <c r="H144" s="38"/>
    </row>
    <row r="145">
      <c r="G145" s="38"/>
      <c r="H145" s="38"/>
    </row>
    <row r="146">
      <c r="G146" s="38"/>
      <c r="H146" s="38"/>
    </row>
    <row r="147">
      <c r="G147" s="38"/>
      <c r="H147" s="38"/>
    </row>
    <row r="148">
      <c r="G148" s="38"/>
      <c r="H148" s="38"/>
    </row>
    <row r="149">
      <c r="G149" s="38"/>
      <c r="H149" s="38"/>
    </row>
    <row r="150">
      <c r="G150" s="38"/>
      <c r="H150" s="38"/>
    </row>
    <row r="151">
      <c r="G151" s="38"/>
      <c r="H151" s="38"/>
    </row>
    <row r="152">
      <c r="G152" s="38"/>
      <c r="H152" s="38"/>
    </row>
    <row r="153">
      <c r="G153" s="38"/>
      <c r="H153" s="38"/>
    </row>
    <row r="154">
      <c r="G154" s="38"/>
      <c r="H154" s="38"/>
    </row>
    <row r="155">
      <c r="G155" s="38"/>
      <c r="H155" s="38"/>
    </row>
    <row r="156">
      <c r="G156" s="38"/>
      <c r="H156" s="38"/>
    </row>
    <row r="157">
      <c r="G157" s="38"/>
      <c r="H157" s="38"/>
    </row>
    <row r="158">
      <c r="G158" s="38"/>
      <c r="H158" s="38"/>
    </row>
    <row r="159">
      <c r="G159" s="38"/>
      <c r="H159" s="38"/>
    </row>
    <row r="160">
      <c r="G160" s="38"/>
      <c r="H160" s="38"/>
    </row>
    <row r="161">
      <c r="G161" s="38"/>
      <c r="H161" s="38"/>
    </row>
    <row r="162">
      <c r="G162" s="38"/>
      <c r="H162" s="38"/>
    </row>
    <row r="163">
      <c r="G163" s="38"/>
      <c r="H163" s="38"/>
    </row>
    <row r="164">
      <c r="G164" s="38"/>
      <c r="H164" s="38"/>
    </row>
    <row r="165">
      <c r="G165" s="38"/>
      <c r="H165" s="38"/>
    </row>
    <row r="166">
      <c r="G166" s="38"/>
      <c r="H166" s="38"/>
    </row>
    <row r="167">
      <c r="G167" s="38"/>
      <c r="H167" s="38"/>
    </row>
    <row r="168">
      <c r="G168" s="38"/>
      <c r="H168" s="38"/>
    </row>
    <row r="169">
      <c r="G169" s="38"/>
      <c r="H169" s="38"/>
    </row>
    <row r="170">
      <c r="G170" s="38"/>
      <c r="H170" s="38"/>
    </row>
    <row r="171">
      <c r="G171" s="38"/>
      <c r="H171" s="38"/>
    </row>
    <row r="172">
      <c r="G172" s="38"/>
      <c r="H172" s="38"/>
    </row>
    <row r="173">
      <c r="G173" s="38"/>
      <c r="H173" s="38"/>
    </row>
    <row r="174">
      <c r="G174" s="38"/>
      <c r="H174" s="38"/>
    </row>
    <row r="175">
      <c r="G175" s="38"/>
      <c r="H175" s="38"/>
    </row>
    <row r="176">
      <c r="G176" s="38"/>
      <c r="H176" s="38"/>
    </row>
    <row r="177">
      <c r="G177" s="38"/>
      <c r="H177" s="38"/>
    </row>
    <row r="178">
      <c r="G178" s="38"/>
      <c r="H178" s="38"/>
    </row>
    <row r="179">
      <c r="G179" s="38"/>
      <c r="H179" s="38"/>
    </row>
    <row r="180">
      <c r="G180" s="38"/>
      <c r="H180" s="38"/>
    </row>
    <row r="181">
      <c r="G181" s="38"/>
      <c r="H181" s="38"/>
    </row>
    <row r="182">
      <c r="G182" s="38"/>
      <c r="H182" s="38"/>
    </row>
    <row r="183">
      <c r="G183" s="38"/>
      <c r="H183" s="38"/>
    </row>
    <row r="184">
      <c r="G184" s="38"/>
      <c r="H184" s="38"/>
    </row>
    <row r="185">
      <c r="G185" s="38"/>
      <c r="H185" s="38"/>
    </row>
    <row r="186">
      <c r="G186" s="38"/>
      <c r="H186" s="38"/>
    </row>
    <row r="187">
      <c r="G187" s="38"/>
      <c r="H187" s="38"/>
    </row>
    <row r="188">
      <c r="G188" s="38"/>
      <c r="H188" s="38"/>
    </row>
    <row r="189">
      <c r="G189" s="38"/>
      <c r="H189" s="38"/>
    </row>
    <row r="190">
      <c r="G190" s="38"/>
      <c r="H190" s="38"/>
    </row>
    <row r="191">
      <c r="G191" s="38"/>
      <c r="H191" s="38"/>
    </row>
    <row r="192">
      <c r="G192" s="38"/>
      <c r="H192" s="38"/>
    </row>
    <row r="193">
      <c r="G193" s="38"/>
      <c r="H193" s="38"/>
    </row>
    <row r="194">
      <c r="G194" s="38"/>
      <c r="H194" s="38"/>
    </row>
    <row r="195">
      <c r="G195" s="38"/>
      <c r="H195" s="38"/>
    </row>
    <row r="196">
      <c r="G196" s="38"/>
      <c r="H196" s="38"/>
    </row>
    <row r="197">
      <c r="G197" s="38"/>
      <c r="H197" s="38"/>
    </row>
    <row r="198">
      <c r="G198" s="38"/>
      <c r="H198" s="38"/>
    </row>
    <row r="199">
      <c r="G199" s="38"/>
      <c r="H199" s="38"/>
    </row>
    <row r="200">
      <c r="G200" s="38"/>
      <c r="H200" s="38"/>
    </row>
    <row r="201">
      <c r="G201" s="38"/>
      <c r="H201" s="38"/>
    </row>
    <row r="202">
      <c r="G202" s="38"/>
      <c r="H202" s="38"/>
    </row>
    <row r="203">
      <c r="G203" s="38"/>
      <c r="H203" s="38"/>
    </row>
    <row r="204">
      <c r="G204" s="38"/>
      <c r="H204" s="38"/>
    </row>
    <row r="205">
      <c r="G205" s="38"/>
      <c r="H205" s="38"/>
    </row>
    <row r="206">
      <c r="G206" s="38"/>
      <c r="H206" s="38"/>
    </row>
    <row r="207">
      <c r="G207" s="38"/>
      <c r="H207" s="38"/>
    </row>
    <row r="208">
      <c r="G208" s="38"/>
      <c r="H208" s="38"/>
    </row>
    <row r="209">
      <c r="G209" s="38"/>
      <c r="H209" s="38"/>
    </row>
    <row r="210">
      <c r="G210" s="38"/>
      <c r="H210" s="38"/>
    </row>
    <row r="211">
      <c r="G211" s="38"/>
      <c r="H211" s="38"/>
    </row>
    <row r="212">
      <c r="G212" s="38"/>
      <c r="H212" s="38"/>
    </row>
    <row r="213">
      <c r="G213" s="38"/>
      <c r="H213" s="38"/>
    </row>
    <row r="214">
      <c r="G214" s="38"/>
      <c r="H214" s="38"/>
    </row>
    <row r="215">
      <c r="G215" s="38"/>
      <c r="H215" s="38"/>
    </row>
    <row r="216">
      <c r="G216" s="38"/>
      <c r="H216" s="38"/>
    </row>
    <row r="217">
      <c r="G217" s="38"/>
      <c r="H217" s="38"/>
    </row>
    <row r="218">
      <c r="G218" s="38"/>
      <c r="H218" s="38"/>
    </row>
    <row r="219">
      <c r="G219" s="38"/>
      <c r="H219" s="38"/>
    </row>
    <row r="220">
      <c r="G220" s="38"/>
      <c r="H220" s="38"/>
    </row>
    <row r="221">
      <c r="G221" s="38"/>
      <c r="H221" s="38"/>
    </row>
    <row r="222">
      <c r="G222" s="38"/>
      <c r="H222" s="38"/>
    </row>
    <row r="223">
      <c r="G223" s="38"/>
      <c r="H223" s="38"/>
    </row>
    <row r="224">
      <c r="G224" s="38"/>
      <c r="H224" s="38"/>
    </row>
    <row r="225">
      <c r="G225" s="38"/>
      <c r="H225" s="38"/>
    </row>
    <row r="226">
      <c r="G226" s="38"/>
      <c r="H226" s="38"/>
    </row>
    <row r="227">
      <c r="G227" s="38"/>
      <c r="H227" s="38"/>
    </row>
    <row r="228">
      <c r="G228" s="38"/>
      <c r="H228" s="38"/>
    </row>
    <row r="229">
      <c r="G229" s="38"/>
      <c r="H229" s="38"/>
    </row>
    <row r="230">
      <c r="G230" s="38"/>
      <c r="H230" s="38"/>
    </row>
    <row r="231">
      <c r="G231" s="38"/>
      <c r="H231" s="38"/>
    </row>
    <row r="232">
      <c r="G232" s="38"/>
      <c r="H232" s="38"/>
    </row>
    <row r="233">
      <c r="G233" s="38"/>
      <c r="H233" s="38"/>
    </row>
    <row r="234">
      <c r="G234" s="38"/>
      <c r="H234" s="38"/>
    </row>
    <row r="235">
      <c r="G235" s="38"/>
      <c r="H235" s="38"/>
    </row>
    <row r="236">
      <c r="G236" s="38"/>
      <c r="H236" s="38"/>
    </row>
    <row r="237">
      <c r="G237" s="38"/>
      <c r="H237" s="38"/>
    </row>
    <row r="238">
      <c r="G238" s="38"/>
      <c r="H238" s="38"/>
    </row>
    <row r="239">
      <c r="G239" s="38"/>
      <c r="H239" s="38"/>
    </row>
    <row r="240">
      <c r="G240" s="38"/>
      <c r="H240" s="38"/>
    </row>
    <row r="241">
      <c r="G241" s="38"/>
      <c r="H241" s="38"/>
    </row>
    <row r="242">
      <c r="G242" s="38"/>
      <c r="H242" s="38"/>
    </row>
    <row r="243">
      <c r="G243" s="38"/>
      <c r="H243" s="38"/>
    </row>
    <row r="244">
      <c r="G244" s="38"/>
      <c r="H244" s="38"/>
    </row>
    <row r="245">
      <c r="G245" s="38"/>
      <c r="H245" s="38"/>
    </row>
    <row r="246">
      <c r="G246" s="38"/>
      <c r="H246" s="38"/>
    </row>
    <row r="247">
      <c r="G247" s="38"/>
      <c r="H247" s="38"/>
    </row>
    <row r="248">
      <c r="G248" s="38"/>
      <c r="H248" s="38"/>
    </row>
    <row r="249">
      <c r="G249" s="38"/>
      <c r="H249" s="38"/>
    </row>
    <row r="250">
      <c r="G250" s="38"/>
      <c r="H250" s="38"/>
    </row>
    <row r="251">
      <c r="G251" s="38"/>
      <c r="H251" s="38"/>
    </row>
    <row r="252">
      <c r="G252" s="38"/>
      <c r="H252" s="38"/>
    </row>
    <row r="253">
      <c r="G253" s="38"/>
      <c r="H253" s="38"/>
    </row>
    <row r="254">
      <c r="G254" s="38"/>
      <c r="H254" s="38"/>
    </row>
    <row r="255">
      <c r="G255" s="38"/>
      <c r="H255" s="38"/>
    </row>
    <row r="256">
      <c r="G256" s="38"/>
      <c r="H256" s="38"/>
    </row>
    <row r="257">
      <c r="G257" s="38"/>
      <c r="H257" s="38"/>
    </row>
    <row r="258">
      <c r="G258" s="38"/>
      <c r="H258" s="38"/>
    </row>
    <row r="259">
      <c r="G259" s="38"/>
      <c r="H259" s="38"/>
    </row>
    <row r="260">
      <c r="G260" s="38"/>
      <c r="H260" s="38"/>
    </row>
    <row r="261">
      <c r="G261" s="38"/>
      <c r="H261" s="38"/>
    </row>
    <row r="262">
      <c r="G262" s="38"/>
      <c r="H262" s="38"/>
    </row>
    <row r="263">
      <c r="G263" s="38"/>
      <c r="H263" s="38"/>
    </row>
    <row r="264">
      <c r="G264" s="38"/>
      <c r="H264" s="38"/>
    </row>
    <row r="265">
      <c r="G265" s="38"/>
      <c r="H265" s="38"/>
    </row>
    <row r="266">
      <c r="G266" s="38"/>
      <c r="H266" s="38"/>
    </row>
    <row r="267">
      <c r="G267" s="38"/>
      <c r="H267" s="38"/>
    </row>
    <row r="268">
      <c r="G268" s="38"/>
      <c r="H268" s="38"/>
    </row>
    <row r="269">
      <c r="G269" s="38"/>
      <c r="H269" s="38"/>
    </row>
    <row r="270">
      <c r="G270" s="38"/>
      <c r="H270" s="38"/>
    </row>
    <row r="271">
      <c r="G271" s="38"/>
      <c r="H271" s="38"/>
    </row>
    <row r="272">
      <c r="G272" s="38"/>
      <c r="H272" s="38"/>
    </row>
    <row r="273">
      <c r="G273" s="38"/>
      <c r="H273" s="38"/>
    </row>
    <row r="274">
      <c r="G274" s="38"/>
      <c r="H274" s="38"/>
    </row>
    <row r="275">
      <c r="G275" s="38"/>
      <c r="H275" s="38"/>
    </row>
    <row r="276">
      <c r="G276" s="38"/>
      <c r="H276" s="38"/>
    </row>
    <row r="277">
      <c r="G277" s="38"/>
      <c r="H277" s="38"/>
    </row>
    <row r="278">
      <c r="G278" s="38"/>
      <c r="H278" s="38"/>
    </row>
    <row r="279">
      <c r="G279" s="38"/>
      <c r="H279" s="38"/>
    </row>
    <row r="280">
      <c r="G280" s="38"/>
      <c r="H280" s="38"/>
    </row>
    <row r="281">
      <c r="G281" s="38"/>
      <c r="H281" s="38"/>
    </row>
    <row r="282">
      <c r="G282" s="38"/>
      <c r="H282" s="38"/>
    </row>
    <row r="283">
      <c r="G283" s="38"/>
      <c r="H283" s="38"/>
    </row>
    <row r="284">
      <c r="G284" s="38"/>
      <c r="H284" s="38"/>
    </row>
    <row r="285">
      <c r="G285" s="38"/>
      <c r="H285" s="38"/>
    </row>
    <row r="286">
      <c r="G286" s="38"/>
      <c r="H286" s="38"/>
    </row>
    <row r="287">
      <c r="G287" s="38"/>
      <c r="H287" s="38"/>
    </row>
    <row r="288">
      <c r="G288" s="38"/>
      <c r="H288" s="38"/>
    </row>
    <row r="289">
      <c r="G289" s="38"/>
      <c r="H289" s="38"/>
    </row>
    <row r="290">
      <c r="G290" s="38"/>
      <c r="H290" s="38"/>
    </row>
    <row r="291">
      <c r="G291" s="38"/>
      <c r="H291" s="38"/>
    </row>
    <row r="292">
      <c r="G292" s="38"/>
      <c r="H292" s="38"/>
    </row>
    <row r="293">
      <c r="G293" s="38"/>
      <c r="H293" s="38"/>
    </row>
    <row r="294">
      <c r="G294" s="38"/>
      <c r="H294" s="38"/>
    </row>
    <row r="295">
      <c r="G295" s="38"/>
      <c r="H295" s="38"/>
    </row>
    <row r="296">
      <c r="G296" s="38"/>
      <c r="H296" s="38"/>
    </row>
    <row r="297">
      <c r="G297" s="38"/>
      <c r="H297" s="38"/>
    </row>
    <row r="298">
      <c r="G298" s="38"/>
      <c r="H298" s="38"/>
    </row>
    <row r="299">
      <c r="G299" s="38"/>
      <c r="H299" s="38"/>
    </row>
    <row r="300">
      <c r="G300" s="38"/>
      <c r="H300" s="38"/>
    </row>
    <row r="301">
      <c r="G301" s="38"/>
      <c r="H301" s="38"/>
    </row>
    <row r="302">
      <c r="G302" s="38"/>
      <c r="H302" s="38"/>
    </row>
    <row r="303">
      <c r="G303" s="38"/>
      <c r="H303" s="38"/>
    </row>
    <row r="304">
      <c r="G304" s="38"/>
      <c r="H304" s="38"/>
    </row>
    <row r="305">
      <c r="G305" s="38"/>
      <c r="H305" s="38"/>
    </row>
    <row r="306">
      <c r="G306" s="38"/>
      <c r="H306" s="38"/>
    </row>
    <row r="307">
      <c r="G307" s="38"/>
      <c r="H307" s="38"/>
    </row>
    <row r="308">
      <c r="G308" s="38"/>
      <c r="H308" s="38"/>
    </row>
    <row r="309">
      <c r="G309" s="38"/>
      <c r="H309" s="38"/>
    </row>
    <row r="310">
      <c r="G310" s="38"/>
      <c r="H310" s="38"/>
    </row>
    <row r="311">
      <c r="G311" s="38"/>
      <c r="H311" s="38"/>
    </row>
    <row r="312">
      <c r="G312" s="38"/>
      <c r="H312" s="38"/>
    </row>
    <row r="313">
      <c r="G313" s="38"/>
      <c r="H313" s="38"/>
    </row>
    <row r="314">
      <c r="G314" s="38"/>
      <c r="H314" s="38"/>
    </row>
    <row r="315">
      <c r="G315" s="38"/>
      <c r="H315" s="38"/>
    </row>
    <row r="316">
      <c r="G316" s="38"/>
      <c r="H316" s="38"/>
    </row>
    <row r="317">
      <c r="G317" s="38"/>
      <c r="H317" s="38"/>
    </row>
    <row r="318">
      <c r="G318" s="38"/>
      <c r="H318" s="38"/>
    </row>
    <row r="319">
      <c r="G319" s="38"/>
      <c r="H319" s="38"/>
    </row>
    <row r="320">
      <c r="G320" s="38"/>
      <c r="H320" s="38"/>
    </row>
    <row r="321">
      <c r="G321" s="38"/>
      <c r="H321" s="38"/>
    </row>
    <row r="322">
      <c r="G322" s="38"/>
      <c r="H322" s="38"/>
    </row>
    <row r="323">
      <c r="G323" s="38"/>
      <c r="H323" s="38"/>
    </row>
    <row r="324">
      <c r="G324" s="38"/>
      <c r="H324" s="38"/>
    </row>
    <row r="325">
      <c r="G325" s="38"/>
      <c r="H325" s="38"/>
    </row>
    <row r="326">
      <c r="G326" s="38"/>
      <c r="H326" s="38"/>
    </row>
    <row r="327">
      <c r="G327" s="38"/>
      <c r="H327" s="38"/>
    </row>
    <row r="328">
      <c r="G328" s="38"/>
      <c r="H328" s="38"/>
    </row>
    <row r="329">
      <c r="G329" s="38"/>
      <c r="H329" s="38"/>
    </row>
    <row r="330">
      <c r="G330" s="38"/>
      <c r="H330" s="38"/>
    </row>
    <row r="331">
      <c r="G331" s="38"/>
      <c r="H331" s="38"/>
    </row>
    <row r="332">
      <c r="G332" s="38"/>
      <c r="H332" s="38"/>
    </row>
    <row r="333">
      <c r="G333" s="38"/>
      <c r="H333" s="38"/>
    </row>
    <row r="334">
      <c r="G334" s="38"/>
      <c r="H334" s="38"/>
    </row>
    <row r="335">
      <c r="G335" s="38"/>
      <c r="H335" s="38"/>
    </row>
    <row r="336">
      <c r="G336" s="38"/>
      <c r="H336" s="38"/>
    </row>
    <row r="337">
      <c r="G337" s="38"/>
      <c r="H337" s="38"/>
    </row>
    <row r="338">
      <c r="G338" s="38"/>
      <c r="H338" s="38"/>
    </row>
    <row r="339">
      <c r="G339" s="38"/>
      <c r="H339" s="38"/>
    </row>
    <row r="340">
      <c r="G340" s="38"/>
      <c r="H340" s="38"/>
    </row>
    <row r="341">
      <c r="G341" s="38"/>
      <c r="H341" s="38"/>
    </row>
    <row r="342">
      <c r="G342" s="38"/>
      <c r="H342" s="38"/>
    </row>
    <row r="343">
      <c r="G343" s="38"/>
      <c r="H343" s="38"/>
    </row>
    <row r="344">
      <c r="G344" s="38"/>
      <c r="H344" s="38"/>
    </row>
    <row r="345">
      <c r="G345" s="38"/>
      <c r="H345" s="38"/>
    </row>
    <row r="346">
      <c r="G346" s="38"/>
      <c r="H346" s="38"/>
    </row>
    <row r="347">
      <c r="G347" s="38"/>
      <c r="H347" s="38"/>
    </row>
    <row r="348">
      <c r="G348" s="38"/>
      <c r="H348" s="38"/>
    </row>
    <row r="349">
      <c r="G349" s="38"/>
      <c r="H349" s="38"/>
    </row>
    <row r="350">
      <c r="G350" s="38"/>
      <c r="H350" s="38"/>
    </row>
    <row r="351">
      <c r="G351" s="38"/>
      <c r="H351" s="38"/>
    </row>
    <row r="352">
      <c r="G352" s="38"/>
      <c r="H352" s="38"/>
    </row>
    <row r="353">
      <c r="G353" s="38"/>
      <c r="H353" s="38"/>
    </row>
    <row r="354">
      <c r="G354" s="38"/>
      <c r="H354" s="38"/>
    </row>
    <row r="355">
      <c r="G355" s="38"/>
      <c r="H355" s="38"/>
    </row>
    <row r="356">
      <c r="G356" s="38"/>
      <c r="H356" s="38"/>
    </row>
    <row r="357">
      <c r="G357" s="38"/>
      <c r="H357" s="38"/>
    </row>
    <row r="358">
      <c r="G358" s="38"/>
      <c r="H358" s="38"/>
    </row>
    <row r="359">
      <c r="G359" s="38"/>
      <c r="H359" s="38"/>
    </row>
    <row r="360">
      <c r="G360" s="38"/>
      <c r="H360" s="38"/>
    </row>
    <row r="361">
      <c r="G361" s="38"/>
      <c r="H361" s="38"/>
    </row>
    <row r="362">
      <c r="G362" s="38"/>
      <c r="H362" s="38"/>
    </row>
    <row r="363">
      <c r="G363" s="38"/>
      <c r="H363" s="38"/>
    </row>
    <row r="364">
      <c r="G364" s="38"/>
      <c r="H364" s="38"/>
    </row>
    <row r="365">
      <c r="G365" s="38"/>
      <c r="H365" s="38"/>
    </row>
    <row r="366">
      <c r="G366" s="38"/>
      <c r="H366" s="38"/>
    </row>
    <row r="367">
      <c r="G367" s="38"/>
      <c r="H367" s="38"/>
    </row>
    <row r="368">
      <c r="G368" s="38"/>
      <c r="H368" s="38"/>
    </row>
    <row r="369">
      <c r="G369" s="38"/>
      <c r="H369" s="38"/>
    </row>
    <row r="370">
      <c r="G370" s="38"/>
      <c r="H370" s="38"/>
    </row>
    <row r="371">
      <c r="G371" s="38"/>
      <c r="H371" s="38"/>
    </row>
    <row r="372">
      <c r="G372" s="38"/>
      <c r="H372" s="38"/>
    </row>
    <row r="373">
      <c r="G373" s="38"/>
      <c r="H373" s="38"/>
    </row>
    <row r="374">
      <c r="G374" s="38"/>
      <c r="H374" s="38"/>
    </row>
    <row r="375">
      <c r="G375" s="38"/>
      <c r="H375" s="38"/>
    </row>
    <row r="376">
      <c r="G376" s="38"/>
      <c r="H376" s="38"/>
    </row>
    <row r="377">
      <c r="G377" s="38"/>
      <c r="H377" s="38"/>
    </row>
    <row r="378">
      <c r="G378" s="38"/>
      <c r="H378" s="38"/>
    </row>
    <row r="379">
      <c r="G379" s="38"/>
      <c r="H379" s="38"/>
    </row>
    <row r="380">
      <c r="G380" s="38"/>
      <c r="H380" s="38"/>
    </row>
    <row r="381">
      <c r="G381" s="38"/>
      <c r="H381" s="38"/>
    </row>
    <row r="382">
      <c r="G382" s="38"/>
      <c r="H382" s="38"/>
    </row>
    <row r="383">
      <c r="G383" s="38"/>
      <c r="H383" s="38"/>
    </row>
    <row r="384">
      <c r="G384" s="38"/>
      <c r="H384" s="38"/>
    </row>
    <row r="385">
      <c r="G385" s="38"/>
      <c r="H385" s="38"/>
    </row>
    <row r="386">
      <c r="G386" s="38"/>
      <c r="H386" s="38"/>
    </row>
    <row r="387">
      <c r="G387" s="38"/>
      <c r="H387" s="38"/>
    </row>
    <row r="388">
      <c r="G388" s="38"/>
      <c r="H388" s="38"/>
    </row>
    <row r="389">
      <c r="G389" s="38"/>
      <c r="H389" s="38"/>
    </row>
    <row r="390">
      <c r="G390" s="38"/>
      <c r="H390" s="38"/>
    </row>
    <row r="391">
      <c r="G391" s="38"/>
      <c r="H391" s="38"/>
    </row>
    <row r="392">
      <c r="G392" s="38"/>
      <c r="H392" s="38"/>
    </row>
    <row r="393">
      <c r="G393" s="38"/>
      <c r="H393" s="38"/>
    </row>
    <row r="394">
      <c r="G394" s="38"/>
      <c r="H394" s="38"/>
    </row>
    <row r="395">
      <c r="G395" s="38"/>
      <c r="H395" s="38"/>
    </row>
    <row r="396">
      <c r="G396" s="38"/>
      <c r="H396" s="38"/>
    </row>
    <row r="397">
      <c r="G397" s="38"/>
      <c r="H397" s="38"/>
    </row>
    <row r="398">
      <c r="G398" s="38"/>
      <c r="H398" s="38"/>
    </row>
    <row r="399">
      <c r="G399" s="38"/>
      <c r="H399" s="38"/>
    </row>
    <row r="400">
      <c r="G400" s="38"/>
      <c r="H400" s="38"/>
    </row>
    <row r="401">
      <c r="G401" s="38"/>
      <c r="H401" s="38"/>
    </row>
    <row r="402">
      <c r="G402" s="38"/>
      <c r="H402" s="38"/>
    </row>
    <row r="403">
      <c r="G403" s="38"/>
      <c r="H403" s="38"/>
    </row>
    <row r="404">
      <c r="G404" s="38"/>
      <c r="H404" s="38"/>
    </row>
    <row r="405">
      <c r="G405" s="38"/>
      <c r="H405" s="38"/>
    </row>
    <row r="406">
      <c r="G406" s="38"/>
      <c r="H406" s="38"/>
    </row>
    <row r="407">
      <c r="G407" s="38"/>
      <c r="H407" s="38"/>
    </row>
    <row r="408">
      <c r="G408" s="38"/>
      <c r="H408" s="38"/>
    </row>
    <row r="409">
      <c r="G409" s="38"/>
      <c r="H409" s="38"/>
    </row>
    <row r="410">
      <c r="G410" s="38"/>
      <c r="H410" s="38"/>
    </row>
    <row r="411">
      <c r="G411" s="38"/>
      <c r="H411" s="38"/>
    </row>
    <row r="412">
      <c r="G412" s="38"/>
      <c r="H412" s="38"/>
    </row>
    <row r="413">
      <c r="G413" s="38"/>
      <c r="H413" s="38"/>
    </row>
    <row r="414">
      <c r="G414" s="38"/>
      <c r="H414" s="38"/>
    </row>
    <row r="415">
      <c r="G415" s="38"/>
      <c r="H415" s="38"/>
    </row>
    <row r="416">
      <c r="G416" s="38"/>
      <c r="H416" s="38"/>
    </row>
    <row r="417">
      <c r="G417" s="38"/>
      <c r="H417" s="38"/>
    </row>
    <row r="418">
      <c r="G418" s="38"/>
      <c r="H418" s="38"/>
    </row>
    <row r="419">
      <c r="G419" s="38"/>
      <c r="H419" s="38"/>
    </row>
    <row r="420">
      <c r="G420" s="38"/>
      <c r="H420" s="38"/>
    </row>
    <row r="421">
      <c r="G421" s="38"/>
      <c r="H421" s="38"/>
    </row>
    <row r="422">
      <c r="G422" s="38"/>
      <c r="H422" s="38"/>
    </row>
    <row r="423">
      <c r="G423" s="38"/>
      <c r="H423" s="38"/>
    </row>
    <row r="424">
      <c r="G424" s="38"/>
      <c r="H424" s="38"/>
    </row>
    <row r="425">
      <c r="G425" s="38"/>
      <c r="H425" s="38"/>
    </row>
    <row r="426">
      <c r="G426" s="38"/>
      <c r="H426" s="38"/>
    </row>
    <row r="427">
      <c r="G427" s="38"/>
      <c r="H427" s="38"/>
    </row>
    <row r="428">
      <c r="G428" s="38"/>
      <c r="H428" s="38"/>
    </row>
    <row r="429">
      <c r="G429" s="38"/>
      <c r="H429" s="38"/>
    </row>
    <row r="430">
      <c r="G430" s="38"/>
      <c r="H430" s="38"/>
    </row>
    <row r="431">
      <c r="G431" s="38"/>
      <c r="H431" s="38"/>
    </row>
    <row r="432">
      <c r="G432" s="38"/>
      <c r="H432" s="38"/>
    </row>
    <row r="433">
      <c r="G433" s="38"/>
      <c r="H433" s="38"/>
    </row>
    <row r="434">
      <c r="G434" s="38"/>
      <c r="H434" s="38"/>
    </row>
    <row r="435">
      <c r="G435" s="38"/>
      <c r="H435" s="38"/>
    </row>
    <row r="436">
      <c r="G436" s="38"/>
      <c r="H436" s="38"/>
    </row>
    <row r="437">
      <c r="G437" s="38"/>
      <c r="H437" s="38"/>
    </row>
    <row r="438">
      <c r="G438" s="38"/>
      <c r="H438" s="38"/>
    </row>
    <row r="439">
      <c r="G439" s="38"/>
      <c r="H439" s="38"/>
    </row>
    <row r="440">
      <c r="G440" s="38"/>
      <c r="H440" s="38"/>
    </row>
    <row r="441">
      <c r="G441" s="38"/>
      <c r="H441" s="38"/>
    </row>
    <row r="442">
      <c r="G442" s="38"/>
      <c r="H442" s="38"/>
    </row>
    <row r="443">
      <c r="G443" s="38"/>
      <c r="H443" s="38"/>
    </row>
    <row r="444">
      <c r="G444" s="38"/>
      <c r="H444" s="38"/>
    </row>
    <row r="445">
      <c r="G445" s="38"/>
      <c r="H445" s="38"/>
    </row>
    <row r="446">
      <c r="G446" s="38"/>
      <c r="H446" s="38"/>
    </row>
    <row r="447">
      <c r="G447" s="38"/>
      <c r="H447" s="38"/>
    </row>
    <row r="448">
      <c r="G448" s="38"/>
      <c r="H448" s="38"/>
    </row>
    <row r="449">
      <c r="G449" s="38"/>
      <c r="H449" s="38"/>
    </row>
    <row r="450">
      <c r="G450" s="38"/>
      <c r="H450" s="38"/>
    </row>
    <row r="451">
      <c r="G451" s="38"/>
      <c r="H451" s="38"/>
    </row>
    <row r="452">
      <c r="G452" s="38"/>
      <c r="H452" s="38"/>
    </row>
    <row r="453">
      <c r="G453" s="38"/>
      <c r="H453" s="38"/>
    </row>
    <row r="454">
      <c r="G454" s="38"/>
      <c r="H454" s="38"/>
    </row>
    <row r="455">
      <c r="G455" s="38"/>
      <c r="H455" s="38"/>
    </row>
    <row r="456">
      <c r="G456" s="38"/>
      <c r="H456" s="38"/>
    </row>
    <row r="457">
      <c r="G457" s="38"/>
      <c r="H457" s="38"/>
    </row>
    <row r="458">
      <c r="G458" s="38"/>
      <c r="H458" s="38"/>
    </row>
    <row r="459">
      <c r="G459" s="38"/>
      <c r="H459" s="38"/>
    </row>
    <row r="460">
      <c r="G460" s="38"/>
      <c r="H460" s="38"/>
    </row>
    <row r="461">
      <c r="G461" s="38"/>
      <c r="H461" s="38"/>
    </row>
    <row r="462">
      <c r="G462" s="38"/>
      <c r="H462" s="38"/>
    </row>
    <row r="463">
      <c r="G463" s="38"/>
      <c r="H463" s="38"/>
    </row>
    <row r="464">
      <c r="G464" s="38"/>
      <c r="H464" s="38"/>
    </row>
    <row r="465">
      <c r="G465" s="38"/>
      <c r="H465" s="38"/>
    </row>
    <row r="466">
      <c r="G466" s="38"/>
      <c r="H466" s="38"/>
    </row>
    <row r="467">
      <c r="G467" s="38"/>
      <c r="H467" s="38"/>
    </row>
    <row r="468">
      <c r="G468" s="38"/>
      <c r="H468" s="38"/>
    </row>
    <row r="469">
      <c r="G469" s="38"/>
      <c r="H469" s="38"/>
    </row>
    <row r="470">
      <c r="G470" s="38"/>
      <c r="H470" s="38"/>
    </row>
    <row r="471">
      <c r="G471" s="38"/>
      <c r="H471" s="38"/>
    </row>
    <row r="472">
      <c r="G472" s="38"/>
      <c r="H472" s="38"/>
    </row>
    <row r="473">
      <c r="G473" s="38"/>
      <c r="H473" s="38"/>
    </row>
    <row r="474">
      <c r="G474" s="38"/>
      <c r="H474" s="38"/>
    </row>
    <row r="475">
      <c r="G475" s="38"/>
      <c r="H475" s="38"/>
    </row>
    <row r="476">
      <c r="G476" s="38"/>
      <c r="H476" s="38"/>
    </row>
    <row r="477">
      <c r="G477" s="38"/>
      <c r="H477" s="38"/>
    </row>
    <row r="478">
      <c r="G478" s="38"/>
      <c r="H478" s="38"/>
    </row>
    <row r="479">
      <c r="G479" s="38"/>
      <c r="H479" s="38"/>
    </row>
    <row r="480">
      <c r="G480" s="38"/>
      <c r="H480" s="38"/>
    </row>
    <row r="481">
      <c r="G481" s="38"/>
      <c r="H481" s="38"/>
    </row>
    <row r="482">
      <c r="G482" s="38"/>
      <c r="H482" s="38"/>
    </row>
    <row r="483">
      <c r="G483" s="38"/>
      <c r="H483" s="38"/>
    </row>
    <row r="484">
      <c r="G484" s="38"/>
      <c r="H484" s="38"/>
    </row>
    <row r="485">
      <c r="G485" s="38"/>
      <c r="H485" s="38"/>
    </row>
    <row r="486">
      <c r="G486" s="38"/>
      <c r="H486" s="38"/>
    </row>
    <row r="487">
      <c r="G487" s="38"/>
      <c r="H487" s="38"/>
    </row>
    <row r="488">
      <c r="G488" s="38"/>
      <c r="H488" s="38"/>
    </row>
    <row r="489">
      <c r="G489" s="38"/>
      <c r="H489" s="38"/>
    </row>
    <row r="490">
      <c r="G490" s="38"/>
      <c r="H490" s="38"/>
    </row>
    <row r="491">
      <c r="G491" s="38"/>
      <c r="H491" s="38"/>
    </row>
    <row r="492">
      <c r="G492" s="38"/>
      <c r="H492" s="38"/>
    </row>
    <row r="493">
      <c r="G493" s="38"/>
      <c r="H493" s="38"/>
    </row>
    <row r="494">
      <c r="G494" s="38"/>
      <c r="H494" s="38"/>
    </row>
    <row r="495">
      <c r="G495" s="38"/>
      <c r="H495" s="38"/>
    </row>
    <row r="496">
      <c r="G496" s="38"/>
      <c r="H496" s="38"/>
    </row>
    <row r="497">
      <c r="G497" s="38"/>
      <c r="H497" s="38"/>
    </row>
    <row r="498">
      <c r="G498" s="38"/>
      <c r="H498" s="38"/>
    </row>
    <row r="499">
      <c r="G499" s="38"/>
      <c r="H499" s="38"/>
    </row>
    <row r="500">
      <c r="G500" s="38"/>
      <c r="H500" s="38"/>
    </row>
    <row r="501">
      <c r="G501" s="38"/>
      <c r="H501" s="38"/>
    </row>
    <row r="502">
      <c r="G502" s="38"/>
      <c r="H502" s="38"/>
    </row>
    <row r="503">
      <c r="G503" s="38"/>
      <c r="H503" s="38"/>
    </row>
    <row r="504">
      <c r="G504" s="38"/>
      <c r="H504" s="38"/>
    </row>
    <row r="505">
      <c r="G505" s="38"/>
      <c r="H505" s="38"/>
    </row>
    <row r="506">
      <c r="G506" s="38"/>
      <c r="H506" s="38"/>
    </row>
    <row r="507">
      <c r="G507" s="38"/>
      <c r="H507" s="38"/>
    </row>
    <row r="508">
      <c r="G508" s="38"/>
      <c r="H508" s="38"/>
    </row>
    <row r="509">
      <c r="G509" s="38"/>
      <c r="H509" s="38"/>
    </row>
    <row r="510">
      <c r="G510" s="38"/>
      <c r="H510" s="38"/>
    </row>
    <row r="511">
      <c r="G511" s="38"/>
      <c r="H511" s="38"/>
    </row>
    <row r="512">
      <c r="G512" s="38"/>
      <c r="H512" s="38"/>
    </row>
    <row r="513">
      <c r="G513" s="38"/>
      <c r="H513" s="38"/>
    </row>
    <row r="514">
      <c r="G514" s="38"/>
      <c r="H514" s="38"/>
    </row>
    <row r="515">
      <c r="G515" s="38"/>
      <c r="H515" s="38"/>
    </row>
    <row r="516">
      <c r="G516" s="38"/>
      <c r="H516" s="38"/>
    </row>
    <row r="517">
      <c r="G517" s="38"/>
      <c r="H517" s="38"/>
    </row>
    <row r="518">
      <c r="G518" s="38"/>
      <c r="H518" s="38"/>
    </row>
    <row r="519">
      <c r="G519" s="38"/>
      <c r="H519" s="38"/>
    </row>
    <row r="520">
      <c r="G520" s="38"/>
      <c r="H520" s="38"/>
    </row>
    <row r="521">
      <c r="G521" s="38"/>
      <c r="H521" s="38"/>
    </row>
    <row r="522">
      <c r="G522" s="38"/>
      <c r="H522" s="38"/>
    </row>
    <row r="523">
      <c r="G523" s="38"/>
      <c r="H523" s="38"/>
    </row>
    <row r="524">
      <c r="G524" s="38"/>
      <c r="H524" s="38"/>
    </row>
    <row r="525">
      <c r="G525" s="38"/>
      <c r="H525" s="38"/>
    </row>
    <row r="526">
      <c r="G526" s="38"/>
      <c r="H526" s="38"/>
    </row>
    <row r="527">
      <c r="G527" s="38"/>
      <c r="H527" s="38"/>
    </row>
    <row r="528">
      <c r="G528" s="38"/>
      <c r="H528" s="38"/>
    </row>
    <row r="529">
      <c r="G529" s="38"/>
      <c r="H529" s="38"/>
    </row>
    <row r="530">
      <c r="G530" s="38"/>
      <c r="H530" s="38"/>
    </row>
    <row r="531">
      <c r="G531" s="38"/>
      <c r="H531" s="38"/>
    </row>
    <row r="532">
      <c r="G532" s="38"/>
      <c r="H532" s="38"/>
    </row>
    <row r="533">
      <c r="G533" s="38"/>
      <c r="H533" s="38"/>
    </row>
    <row r="534">
      <c r="G534" s="38"/>
      <c r="H534" s="38"/>
    </row>
    <row r="535">
      <c r="G535" s="38"/>
      <c r="H535" s="38"/>
    </row>
    <row r="536">
      <c r="G536" s="38"/>
      <c r="H536" s="38"/>
    </row>
    <row r="537">
      <c r="G537" s="38"/>
      <c r="H537" s="38"/>
    </row>
    <row r="538">
      <c r="G538" s="38"/>
      <c r="H538" s="38"/>
    </row>
    <row r="539">
      <c r="G539" s="38"/>
      <c r="H539" s="38"/>
    </row>
    <row r="540">
      <c r="G540" s="38"/>
      <c r="H540" s="38"/>
    </row>
    <row r="541">
      <c r="G541" s="38"/>
      <c r="H541" s="38"/>
    </row>
    <row r="542">
      <c r="G542" s="38"/>
      <c r="H542" s="38"/>
    </row>
    <row r="543">
      <c r="G543" s="38"/>
      <c r="H543" s="38"/>
    </row>
    <row r="544">
      <c r="G544" s="38"/>
      <c r="H544" s="38"/>
    </row>
    <row r="545">
      <c r="G545" s="38"/>
      <c r="H545" s="38"/>
    </row>
    <row r="546">
      <c r="G546" s="38"/>
      <c r="H546" s="38"/>
    </row>
    <row r="547">
      <c r="G547" s="38"/>
      <c r="H547" s="38"/>
    </row>
    <row r="548">
      <c r="G548" s="38"/>
      <c r="H548" s="38"/>
    </row>
    <row r="549">
      <c r="G549" s="38"/>
      <c r="H549" s="38"/>
    </row>
    <row r="550">
      <c r="G550" s="38"/>
      <c r="H550" s="38"/>
    </row>
    <row r="551">
      <c r="G551" s="38"/>
      <c r="H551" s="38"/>
    </row>
    <row r="552">
      <c r="G552" s="38"/>
      <c r="H552" s="38"/>
    </row>
    <row r="553">
      <c r="G553" s="38"/>
      <c r="H553" s="38"/>
    </row>
    <row r="554">
      <c r="G554" s="38"/>
      <c r="H554" s="38"/>
    </row>
    <row r="555">
      <c r="G555" s="38"/>
      <c r="H555" s="38"/>
    </row>
    <row r="556">
      <c r="G556" s="38"/>
      <c r="H556" s="38"/>
    </row>
    <row r="557">
      <c r="G557" s="38"/>
      <c r="H557" s="38"/>
    </row>
    <row r="558">
      <c r="G558" s="38"/>
      <c r="H558" s="38"/>
    </row>
    <row r="559">
      <c r="G559" s="38"/>
      <c r="H559" s="38"/>
    </row>
    <row r="560">
      <c r="G560" s="38"/>
      <c r="H560" s="38"/>
    </row>
    <row r="561">
      <c r="G561" s="38"/>
      <c r="H561" s="38"/>
    </row>
    <row r="562">
      <c r="G562" s="38"/>
      <c r="H562" s="38"/>
    </row>
    <row r="563">
      <c r="G563" s="38"/>
      <c r="H563" s="38"/>
    </row>
    <row r="564">
      <c r="G564" s="38"/>
      <c r="H564" s="38"/>
    </row>
    <row r="565">
      <c r="G565" s="38"/>
      <c r="H565" s="38"/>
    </row>
    <row r="566">
      <c r="G566" s="38"/>
      <c r="H566" s="38"/>
    </row>
    <row r="567">
      <c r="G567" s="38"/>
      <c r="H567" s="38"/>
    </row>
    <row r="568">
      <c r="G568" s="38"/>
      <c r="H568" s="38"/>
    </row>
    <row r="569">
      <c r="G569" s="38"/>
      <c r="H569" s="38"/>
    </row>
    <row r="570">
      <c r="G570" s="38"/>
      <c r="H570" s="38"/>
    </row>
    <row r="571">
      <c r="G571" s="38"/>
      <c r="H571" s="38"/>
    </row>
    <row r="572">
      <c r="G572" s="38"/>
      <c r="H572" s="38"/>
    </row>
    <row r="573">
      <c r="G573" s="38"/>
      <c r="H573" s="38"/>
    </row>
    <row r="574">
      <c r="G574" s="38"/>
      <c r="H574" s="38"/>
    </row>
    <row r="575">
      <c r="G575" s="38"/>
      <c r="H575" s="38"/>
    </row>
    <row r="576">
      <c r="G576" s="38"/>
      <c r="H576" s="38"/>
    </row>
    <row r="577">
      <c r="G577" s="38"/>
      <c r="H577" s="38"/>
    </row>
    <row r="578">
      <c r="G578" s="38"/>
      <c r="H578" s="38"/>
    </row>
    <row r="579">
      <c r="G579" s="38"/>
      <c r="H579" s="38"/>
    </row>
    <row r="580">
      <c r="G580" s="38"/>
      <c r="H580" s="38"/>
    </row>
    <row r="581">
      <c r="G581" s="38"/>
      <c r="H581" s="38"/>
    </row>
    <row r="582">
      <c r="G582" s="38"/>
      <c r="H582" s="38"/>
    </row>
    <row r="583">
      <c r="G583" s="38"/>
      <c r="H583" s="38"/>
    </row>
    <row r="584">
      <c r="G584" s="38"/>
      <c r="H584" s="38"/>
    </row>
    <row r="585">
      <c r="G585" s="38"/>
      <c r="H585" s="38"/>
    </row>
    <row r="586">
      <c r="G586" s="38"/>
      <c r="H586" s="38"/>
    </row>
    <row r="587">
      <c r="G587" s="38"/>
      <c r="H587" s="38"/>
    </row>
    <row r="588">
      <c r="G588" s="38"/>
      <c r="H588" s="38"/>
    </row>
    <row r="589">
      <c r="G589" s="38"/>
      <c r="H589" s="38"/>
    </row>
    <row r="590">
      <c r="G590" s="38"/>
      <c r="H590" s="38"/>
    </row>
    <row r="591">
      <c r="G591" s="38"/>
      <c r="H591" s="38"/>
    </row>
    <row r="592">
      <c r="G592" s="38"/>
      <c r="H592" s="38"/>
    </row>
    <row r="593">
      <c r="G593" s="38"/>
      <c r="H593" s="38"/>
    </row>
    <row r="594">
      <c r="G594" s="38"/>
      <c r="H594" s="38"/>
    </row>
    <row r="595">
      <c r="G595" s="38"/>
      <c r="H595" s="38"/>
    </row>
    <row r="596">
      <c r="G596" s="38"/>
      <c r="H596" s="38"/>
    </row>
    <row r="597">
      <c r="G597" s="38"/>
      <c r="H597" s="38"/>
    </row>
    <row r="598">
      <c r="G598" s="38"/>
      <c r="H598" s="38"/>
    </row>
    <row r="599">
      <c r="G599" s="38"/>
      <c r="H599" s="38"/>
    </row>
    <row r="600">
      <c r="G600" s="38"/>
      <c r="H600" s="38"/>
    </row>
    <row r="601">
      <c r="G601" s="38"/>
      <c r="H601" s="38"/>
    </row>
    <row r="602">
      <c r="G602" s="38"/>
      <c r="H602" s="38"/>
    </row>
    <row r="603">
      <c r="G603" s="38"/>
      <c r="H603" s="38"/>
    </row>
    <row r="604">
      <c r="G604" s="38"/>
      <c r="H604" s="38"/>
    </row>
    <row r="605">
      <c r="G605" s="38"/>
      <c r="H605" s="38"/>
    </row>
    <row r="606">
      <c r="G606" s="38"/>
      <c r="H606" s="38"/>
    </row>
    <row r="607">
      <c r="G607" s="38"/>
      <c r="H607" s="38"/>
    </row>
    <row r="608">
      <c r="G608" s="38"/>
      <c r="H608" s="38"/>
    </row>
    <row r="609">
      <c r="G609" s="38"/>
      <c r="H609" s="38"/>
    </row>
    <row r="610">
      <c r="G610" s="38"/>
      <c r="H610" s="38"/>
    </row>
    <row r="611">
      <c r="G611" s="38"/>
      <c r="H611" s="38"/>
    </row>
    <row r="612">
      <c r="G612" s="38"/>
      <c r="H612" s="38"/>
    </row>
    <row r="613">
      <c r="G613" s="38"/>
      <c r="H613" s="38"/>
    </row>
    <row r="614">
      <c r="G614" s="38"/>
      <c r="H614" s="38"/>
    </row>
    <row r="615">
      <c r="G615" s="38"/>
      <c r="H615" s="38"/>
    </row>
    <row r="616">
      <c r="G616" s="38"/>
      <c r="H616" s="38"/>
    </row>
    <row r="617">
      <c r="G617" s="38"/>
      <c r="H617" s="38"/>
    </row>
    <row r="618">
      <c r="G618" s="38"/>
      <c r="H618" s="38"/>
    </row>
    <row r="619">
      <c r="G619" s="38"/>
      <c r="H619" s="38"/>
    </row>
    <row r="620">
      <c r="G620" s="38"/>
      <c r="H620" s="38"/>
    </row>
    <row r="621">
      <c r="G621" s="38"/>
      <c r="H621" s="38"/>
    </row>
    <row r="622">
      <c r="G622" s="38"/>
      <c r="H622" s="38"/>
    </row>
    <row r="623">
      <c r="G623" s="38"/>
      <c r="H623" s="38"/>
    </row>
    <row r="624">
      <c r="G624" s="38"/>
      <c r="H624" s="38"/>
    </row>
    <row r="625">
      <c r="G625" s="38"/>
      <c r="H625" s="38"/>
    </row>
    <row r="626">
      <c r="G626" s="38"/>
      <c r="H626" s="38"/>
    </row>
    <row r="627">
      <c r="G627" s="38"/>
      <c r="H627" s="38"/>
    </row>
    <row r="628">
      <c r="G628" s="38"/>
      <c r="H628" s="38"/>
    </row>
    <row r="629">
      <c r="G629" s="38"/>
      <c r="H629" s="38"/>
    </row>
    <row r="630">
      <c r="G630" s="38"/>
      <c r="H630" s="38"/>
    </row>
    <row r="631">
      <c r="G631" s="38"/>
      <c r="H631" s="38"/>
    </row>
    <row r="632">
      <c r="G632" s="38"/>
      <c r="H632" s="38"/>
    </row>
    <row r="633">
      <c r="G633" s="38"/>
      <c r="H633" s="38"/>
    </row>
    <row r="634">
      <c r="G634" s="38"/>
      <c r="H634" s="38"/>
    </row>
    <row r="635">
      <c r="G635" s="38"/>
      <c r="H635" s="38"/>
    </row>
    <row r="636">
      <c r="G636" s="38"/>
      <c r="H636" s="38"/>
    </row>
    <row r="637">
      <c r="G637" s="38"/>
      <c r="H637" s="38"/>
    </row>
    <row r="638">
      <c r="G638" s="38"/>
      <c r="H638" s="38"/>
    </row>
    <row r="639">
      <c r="G639" s="38"/>
      <c r="H639" s="38"/>
    </row>
    <row r="640">
      <c r="G640" s="38"/>
      <c r="H640" s="38"/>
    </row>
    <row r="641">
      <c r="G641" s="38"/>
      <c r="H641" s="38"/>
    </row>
    <row r="642">
      <c r="G642" s="38"/>
      <c r="H642" s="38"/>
    </row>
    <row r="643">
      <c r="G643" s="38"/>
      <c r="H643" s="38"/>
    </row>
    <row r="644">
      <c r="G644" s="38"/>
      <c r="H644" s="38"/>
    </row>
    <row r="645">
      <c r="G645" s="38"/>
      <c r="H645" s="38"/>
    </row>
    <row r="646">
      <c r="G646" s="38"/>
      <c r="H646" s="38"/>
    </row>
    <row r="647">
      <c r="G647" s="38"/>
      <c r="H647" s="38"/>
    </row>
    <row r="648">
      <c r="G648" s="38"/>
      <c r="H648" s="38"/>
    </row>
    <row r="649">
      <c r="G649" s="38"/>
      <c r="H649" s="38"/>
    </row>
    <row r="650">
      <c r="G650" s="38"/>
      <c r="H650" s="38"/>
    </row>
    <row r="651">
      <c r="G651" s="38"/>
      <c r="H651" s="38"/>
    </row>
    <row r="652">
      <c r="G652" s="38"/>
      <c r="H652" s="38"/>
    </row>
    <row r="653">
      <c r="G653" s="38"/>
      <c r="H653" s="38"/>
    </row>
    <row r="654">
      <c r="G654" s="38"/>
      <c r="H654" s="38"/>
    </row>
    <row r="655">
      <c r="G655" s="38"/>
      <c r="H655" s="38"/>
    </row>
    <row r="656">
      <c r="G656" s="38"/>
      <c r="H656" s="38"/>
    </row>
    <row r="657">
      <c r="G657" s="38"/>
      <c r="H657" s="38"/>
    </row>
    <row r="658">
      <c r="G658" s="38"/>
      <c r="H658" s="38"/>
    </row>
    <row r="659">
      <c r="G659" s="38"/>
      <c r="H659" s="38"/>
    </row>
    <row r="660">
      <c r="G660" s="38"/>
      <c r="H660" s="38"/>
    </row>
    <row r="661">
      <c r="G661" s="38"/>
      <c r="H661" s="38"/>
    </row>
    <row r="662">
      <c r="G662" s="38"/>
      <c r="H662" s="38"/>
    </row>
    <row r="663">
      <c r="G663" s="38"/>
      <c r="H663" s="38"/>
    </row>
    <row r="664">
      <c r="G664" s="38"/>
      <c r="H664" s="38"/>
    </row>
    <row r="665">
      <c r="G665" s="38"/>
      <c r="H665" s="38"/>
    </row>
    <row r="666">
      <c r="G666" s="38"/>
      <c r="H666" s="38"/>
    </row>
    <row r="667">
      <c r="G667" s="38"/>
      <c r="H667" s="38"/>
    </row>
    <row r="668">
      <c r="G668" s="38"/>
      <c r="H668" s="38"/>
    </row>
    <row r="669">
      <c r="G669" s="38"/>
      <c r="H669" s="38"/>
    </row>
    <row r="670">
      <c r="G670" s="38"/>
      <c r="H670" s="38"/>
    </row>
    <row r="671">
      <c r="G671" s="38"/>
      <c r="H671" s="38"/>
    </row>
    <row r="672">
      <c r="G672" s="38"/>
      <c r="H672" s="38"/>
    </row>
    <row r="673">
      <c r="G673" s="38"/>
      <c r="H673" s="38"/>
    </row>
    <row r="674">
      <c r="G674" s="38"/>
      <c r="H674" s="38"/>
    </row>
    <row r="675">
      <c r="G675" s="38"/>
      <c r="H675" s="38"/>
    </row>
    <row r="676">
      <c r="G676" s="38"/>
      <c r="H676" s="38"/>
    </row>
    <row r="677">
      <c r="G677" s="38"/>
      <c r="H677" s="38"/>
    </row>
    <row r="678">
      <c r="G678" s="38"/>
      <c r="H678" s="38"/>
    </row>
    <row r="679">
      <c r="G679" s="38"/>
      <c r="H679" s="38"/>
    </row>
    <row r="680">
      <c r="G680" s="38"/>
      <c r="H680" s="38"/>
    </row>
    <row r="681">
      <c r="G681" s="38"/>
      <c r="H681" s="38"/>
    </row>
    <row r="682">
      <c r="G682" s="38"/>
      <c r="H682" s="38"/>
    </row>
    <row r="683">
      <c r="G683" s="38"/>
      <c r="H683" s="38"/>
    </row>
    <row r="684">
      <c r="G684" s="38"/>
      <c r="H684" s="38"/>
    </row>
    <row r="685">
      <c r="G685" s="38"/>
      <c r="H685" s="38"/>
    </row>
    <row r="686">
      <c r="G686" s="38"/>
      <c r="H686" s="38"/>
    </row>
    <row r="687">
      <c r="G687" s="38"/>
      <c r="H687" s="38"/>
    </row>
    <row r="688">
      <c r="G688" s="38"/>
      <c r="H688" s="38"/>
    </row>
    <row r="689">
      <c r="G689" s="38"/>
      <c r="H689" s="38"/>
    </row>
    <row r="690">
      <c r="G690" s="38"/>
      <c r="H690" s="38"/>
    </row>
    <row r="691">
      <c r="G691" s="38"/>
      <c r="H691" s="38"/>
    </row>
    <row r="692">
      <c r="G692" s="38"/>
      <c r="H692" s="38"/>
    </row>
    <row r="693">
      <c r="G693" s="38"/>
      <c r="H693" s="38"/>
    </row>
    <row r="694">
      <c r="G694" s="38"/>
      <c r="H694" s="38"/>
    </row>
    <row r="695">
      <c r="G695" s="38"/>
      <c r="H695" s="38"/>
    </row>
    <row r="696">
      <c r="G696" s="38"/>
      <c r="H696" s="38"/>
    </row>
    <row r="697">
      <c r="G697" s="38"/>
      <c r="H697" s="38"/>
    </row>
    <row r="698">
      <c r="G698" s="38"/>
      <c r="H698" s="38"/>
    </row>
    <row r="699">
      <c r="G699" s="38"/>
      <c r="H699" s="38"/>
    </row>
    <row r="700">
      <c r="G700" s="38"/>
      <c r="H700" s="38"/>
    </row>
    <row r="701">
      <c r="G701" s="38"/>
      <c r="H701" s="38"/>
    </row>
    <row r="702">
      <c r="G702" s="38"/>
      <c r="H702" s="38"/>
    </row>
    <row r="703">
      <c r="G703" s="38"/>
      <c r="H703" s="38"/>
    </row>
    <row r="704">
      <c r="G704" s="38"/>
      <c r="H704" s="38"/>
    </row>
    <row r="705">
      <c r="G705" s="38"/>
      <c r="H705" s="38"/>
    </row>
    <row r="706">
      <c r="G706" s="38"/>
      <c r="H706" s="38"/>
    </row>
    <row r="707">
      <c r="G707" s="38"/>
      <c r="H707" s="38"/>
    </row>
    <row r="708">
      <c r="G708" s="38"/>
      <c r="H708" s="38"/>
    </row>
    <row r="709">
      <c r="G709" s="38"/>
      <c r="H709" s="38"/>
    </row>
    <row r="710">
      <c r="G710" s="38"/>
      <c r="H710" s="38"/>
    </row>
    <row r="711">
      <c r="G711" s="38"/>
      <c r="H711" s="38"/>
    </row>
    <row r="712">
      <c r="G712" s="38"/>
      <c r="H712" s="38"/>
    </row>
    <row r="713">
      <c r="G713" s="38"/>
      <c r="H713" s="38"/>
    </row>
    <row r="714">
      <c r="G714" s="38"/>
      <c r="H714" s="38"/>
    </row>
    <row r="715">
      <c r="G715" s="38"/>
      <c r="H715" s="38"/>
    </row>
    <row r="716">
      <c r="G716" s="38"/>
      <c r="H716" s="38"/>
    </row>
    <row r="717">
      <c r="G717" s="38"/>
      <c r="H717" s="38"/>
    </row>
    <row r="718">
      <c r="G718" s="38"/>
      <c r="H718" s="38"/>
    </row>
    <row r="719">
      <c r="G719" s="38"/>
      <c r="H719" s="38"/>
    </row>
    <row r="720">
      <c r="G720" s="38"/>
      <c r="H720" s="38"/>
    </row>
    <row r="721">
      <c r="G721" s="38"/>
      <c r="H721" s="38"/>
    </row>
    <row r="722">
      <c r="G722" s="38"/>
      <c r="H722" s="38"/>
    </row>
    <row r="723">
      <c r="G723" s="38"/>
      <c r="H723" s="38"/>
    </row>
    <row r="724">
      <c r="G724" s="38"/>
      <c r="H724" s="38"/>
    </row>
    <row r="725">
      <c r="G725" s="38"/>
      <c r="H725" s="38"/>
    </row>
    <row r="726">
      <c r="G726" s="38"/>
      <c r="H726" s="38"/>
    </row>
    <row r="727">
      <c r="G727" s="38"/>
      <c r="H727" s="38"/>
    </row>
    <row r="728">
      <c r="G728" s="38"/>
      <c r="H728" s="38"/>
    </row>
    <row r="729">
      <c r="G729" s="38"/>
      <c r="H729" s="38"/>
    </row>
    <row r="730">
      <c r="G730" s="38"/>
      <c r="H730" s="38"/>
    </row>
    <row r="731">
      <c r="G731" s="38"/>
      <c r="H731" s="38"/>
    </row>
    <row r="732">
      <c r="G732" s="38"/>
      <c r="H732" s="38"/>
    </row>
    <row r="733">
      <c r="G733" s="38"/>
      <c r="H733" s="38"/>
    </row>
    <row r="734">
      <c r="G734" s="38"/>
      <c r="H734" s="38"/>
    </row>
    <row r="735">
      <c r="G735" s="38"/>
      <c r="H735" s="38"/>
    </row>
    <row r="736">
      <c r="G736" s="38"/>
      <c r="H736" s="38"/>
    </row>
    <row r="737">
      <c r="G737" s="38"/>
      <c r="H737" s="38"/>
    </row>
    <row r="738">
      <c r="G738" s="38"/>
      <c r="H738" s="38"/>
    </row>
    <row r="739">
      <c r="G739" s="38"/>
      <c r="H739" s="38"/>
    </row>
    <row r="740">
      <c r="G740" s="38"/>
      <c r="H740" s="38"/>
    </row>
    <row r="741">
      <c r="G741" s="38"/>
      <c r="H741" s="38"/>
    </row>
    <row r="742">
      <c r="G742" s="38"/>
      <c r="H742" s="38"/>
    </row>
    <row r="743">
      <c r="G743" s="38"/>
      <c r="H743" s="38"/>
    </row>
    <row r="744">
      <c r="G744" s="38"/>
      <c r="H744" s="38"/>
    </row>
    <row r="745">
      <c r="G745" s="38"/>
      <c r="H745" s="38"/>
    </row>
    <row r="746">
      <c r="G746" s="38"/>
      <c r="H746" s="38"/>
    </row>
    <row r="747">
      <c r="G747" s="38"/>
      <c r="H747" s="38"/>
    </row>
    <row r="748">
      <c r="G748" s="38"/>
      <c r="H748" s="38"/>
    </row>
    <row r="749">
      <c r="G749" s="38"/>
      <c r="H749" s="38"/>
    </row>
    <row r="750">
      <c r="G750" s="38"/>
      <c r="H750" s="38"/>
    </row>
    <row r="751">
      <c r="G751" s="38"/>
      <c r="H751" s="38"/>
    </row>
    <row r="752">
      <c r="G752" s="38"/>
      <c r="H752" s="38"/>
    </row>
    <row r="753">
      <c r="G753" s="38"/>
      <c r="H753" s="38"/>
    </row>
    <row r="754">
      <c r="G754" s="38"/>
      <c r="H754" s="38"/>
    </row>
    <row r="755">
      <c r="G755" s="38"/>
      <c r="H755" s="38"/>
    </row>
    <row r="756">
      <c r="G756" s="38"/>
      <c r="H756" s="38"/>
    </row>
    <row r="757">
      <c r="G757" s="38"/>
      <c r="H757" s="38"/>
    </row>
    <row r="758">
      <c r="G758" s="38"/>
      <c r="H758" s="38"/>
    </row>
    <row r="759">
      <c r="G759" s="38"/>
      <c r="H759" s="38"/>
    </row>
    <row r="760">
      <c r="G760" s="38"/>
      <c r="H760" s="38"/>
    </row>
    <row r="761">
      <c r="G761" s="38"/>
      <c r="H761" s="38"/>
    </row>
    <row r="762">
      <c r="G762" s="38"/>
      <c r="H762" s="38"/>
    </row>
    <row r="763">
      <c r="G763" s="38"/>
      <c r="H763" s="38"/>
    </row>
    <row r="764">
      <c r="G764" s="38"/>
      <c r="H764" s="38"/>
    </row>
    <row r="765">
      <c r="G765" s="38"/>
      <c r="H765" s="38"/>
    </row>
    <row r="766">
      <c r="G766" s="38"/>
      <c r="H766" s="38"/>
    </row>
    <row r="767">
      <c r="G767" s="38"/>
      <c r="H767" s="38"/>
    </row>
    <row r="768">
      <c r="G768" s="38"/>
      <c r="H768" s="38"/>
    </row>
    <row r="769">
      <c r="G769" s="38"/>
      <c r="H769" s="38"/>
    </row>
    <row r="770">
      <c r="G770" s="38"/>
      <c r="H770" s="38"/>
    </row>
    <row r="771">
      <c r="G771" s="38"/>
      <c r="H771" s="38"/>
    </row>
    <row r="772">
      <c r="G772" s="38"/>
      <c r="H772" s="38"/>
    </row>
    <row r="773">
      <c r="G773" s="38"/>
      <c r="H773" s="38"/>
    </row>
    <row r="774">
      <c r="G774" s="38"/>
      <c r="H774" s="38"/>
    </row>
    <row r="775">
      <c r="G775" s="38"/>
      <c r="H775" s="38"/>
    </row>
    <row r="776">
      <c r="G776" s="38"/>
      <c r="H776" s="38"/>
    </row>
    <row r="777">
      <c r="G777" s="38"/>
      <c r="H777" s="38"/>
    </row>
    <row r="778">
      <c r="G778" s="38"/>
      <c r="H778" s="38"/>
    </row>
    <row r="779">
      <c r="G779" s="38"/>
      <c r="H779" s="38"/>
    </row>
    <row r="780">
      <c r="G780" s="38"/>
      <c r="H780" s="38"/>
    </row>
    <row r="781">
      <c r="G781" s="38"/>
      <c r="H781" s="38"/>
    </row>
    <row r="782">
      <c r="G782" s="38"/>
      <c r="H782" s="38"/>
    </row>
    <row r="783">
      <c r="G783" s="38"/>
      <c r="H783" s="38"/>
    </row>
    <row r="784">
      <c r="G784" s="38"/>
      <c r="H784" s="38"/>
    </row>
    <row r="785">
      <c r="G785" s="38"/>
      <c r="H785" s="38"/>
    </row>
    <row r="786">
      <c r="G786" s="38"/>
      <c r="H786" s="38"/>
    </row>
    <row r="787">
      <c r="G787" s="38"/>
      <c r="H787" s="38"/>
    </row>
    <row r="788">
      <c r="G788" s="38"/>
      <c r="H788" s="38"/>
    </row>
    <row r="789">
      <c r="G789" s="38"/>
      <c r="H789" s="38"/>
    </row>
    <row r="790">
      <c r="G790" s="38"/>
      <c r="H790" s="38"/>
    </row>
    <row r="791">
      <c r="G791" s="38"/>
      <c r="H791" s="38"/>
    </row>
    <row r="792">
      <c r="G792" s="38"/>
      <c r="H792" s="38"/>
    </row>
    <row r="793">
      <c r="G793" s="38"/>
      <c r="H793" s="38"/>
    </row>
    <row r="794">
      <c r="G794" s="38"/>
      <c r="H794" s="38"/>
    </row>
    <row r="795">
      <c r="G795" s="38"/>
      <c r="H795" s="38"/>
    </row>
    <row r="796">
      <c r="G796" s="38"/>
      <c r="H796" s="38"/>
    </row>
    <row r="797">
      <c r="G797" s="38"/>
      <c r="H797" s="38"/>
    </row>
    <row r="798">
      <c r="G798" s="38"/>
      <c r="H798" s="38"/>
    </row>
    <row r="799">
      <c r="G799" s="38"/>
      <c r="H799" s="38"/>
    </row>
    <row r="800">
      <c r="G800" s="38"/>
      <c r="H800" s="38"/>
    </row>
    <row r="801">
      <c r="G801" s="38"/>
      <c r="H801" s="38"/>
    </row>
    <row r="802">
      <c r="G802" s="38"/>
      <c r="H802" s="38"/>
    </row>
    <row r="803">
      <c r="G803" s="38"/>
      <c r="H803" s="38"/>
    </row>
    <row r="804">
      <c r="G804" s="38"/>
      <c r="H804" s="38"/>
    </row>
    <row r="805">
      <c r="G805" s="38"/>
      <c r="H805" s="38"/>
    </row>
    <row r="806">
      <c r="G806" s="38"/>
      <c r="H806" s="38"/>
    </row>
    <row r="807">
      <c r="G807" s="38"/>
      <c r="H807" s="38"/>
    </row>
    <row r="808">
      <c r="G808" s="38"/>
      <c r="H808" s="38"/>
    </row>
    <row r="809">
      <c r="G809" s="38"/>
      <c r="H809" s="38"/>
    </row>
    <row r="810">
      <c r="G810" s="38"/>
      <c r="H810" s="38"/>
    </row>
    <row r="811">
      <c r="G811" s="38"/>
      <c r="H811" s="38"/>
    </row>
    <row r="812">
      <c r="G812" s="38"/>
      <c r="H812" s="38"/>
    </row>
    <row r="813">
      <c r="G813" s="38"/>
      <c r="H813" s="38"/>
    </row>
    <row r="814">
      <c r="G814" s="38"/>
      <c r="H814" s="38"/>
    </row>
    <row r="815">
      <c r="G815" s="38"/>
      <c r="H815" s="38"/>
    </row>
    <row r="816">
      <c r="G816" s="38"/>
      <c r="H816" s="38"/>
    </row>
    <row r="817">
      <c r="G817" s="38"/>
      <c r="H817" s="38"/>
    </row>
    <row r="818">
      <c r="G818" s="38"/>
      <c r="H818" s="38"/>
    </row>
    <row r="819">
      <c r="G819" s="38"/>
      <c r="H819" s="38"/>
    </row>
    <row r="820">
      <c r="G820" s="38"/>
      <c r="H820" s="38"/>
    </row>
    <row r="821">
      <c r="G821" s="38"/>
      <c r="H821" s="38"/>
    </row>
    <row r="822">
      <c r="G822" s="38"/>
      <c r="H822" s="38"/>
    </row>
    <row r="823">
      <c r="G823" s="38"/>
      <c r="H823" s="38"/>
    </row>
    <row r="824">
      <c r="G824" s="38"/>
      <c r="H824" s="38"/>
    </row>
    <row r="825">
      <c r="G825" s="38"/>
      <c r="H825" s="38"/>
    </row>
    <row r="826">
      <c r="G826" s="38"/>
      <c r="H826" s="38"/>
    </row>
    <row r="827">
      <c r="G827" s="38"/>
      <c r="H827" s="38"/>
    </row>
    <row r="828">
      <c r="G828" s="38"/>
      <c r="H828" s="38"/>
    </row>
    <row r="829">
      <c r="G829" s="38"/>
      <c r="H829" s="38"/>
    </row>
    <row r="830">
      <c r="G830" s="38"/>
      <c r="H830" s="38"/>
    </row>
    <row r="831">
      <c r="G831" s="38"/>
      <c r="H831" s="38"/>
    </row>
    <row r="832">
      <c r="G832" s="38"/>
      <c r="H832" s="38"/>
    </row>
    <row r="833">
      <c r="G833" s="38"/>
      <c r="H833" s="38"/>
    </row>
    <row r="834">
      <c r="G834" s="38"/>
      <c r="H834" s="38"/>
    </row>
    <row r="835">
      <c r="G835" s="38"/>
      <c r="H835" s="38"/>
    </row>
    <row r="836">
      <c r="G836" s="38"/>
      <c r="H836" s="38"/>
    </row>
    <row r="837">
      <c r="G837" s="38"/>
      <c r="H837" s="38"/>
    </row>
    <row r="838">
      <c r="G838" s="38"/>
      <c r="H838" s="38"/>
    </row>
    <row r="839">
      <c r="G839" s="38"/>
      <c r="H839" s="38"/>
    </row>
    <row r="840">
      <c r="G840" s="38"/>
      <c r="H840" s="38"/>
    </row>
    <row r="841">
      <c r="G841" s="38"/>
      <c r="H841" s="38"/>
    </row>
    <row r="842">
      <c r="G842" s="38"/>
      <c r="H842" s="38"/>
    </row>
    <row r="843">
      <c r="G843" s="38"/>
      <c r="H843" s="38"/>
    </row>
    <row r="844">
      <c r="G844" s="38"/>
      <c r="H844" s="38"/>
    </row>
    <row r="845">
      <c r="G845" s="38"/>
      <c r="H845" s="38"/>
    </row>
    <row r="846">
      <c r="G846" s="38"/>
      <c r="H846" s="38"/>
    </row>
    <row r="847">
      <c r="G847" s="38"/>
      <c r="H847" s="38"/>
    </row>
    <row r="848">
      <c r="G848" s="38"/>
      <c r="H848" s="38"/>
    </row>
    <row r="849">
      <c r="G849" s="38"/>
      <c r="H849" s="38"/>
    </row>
    <row r="850">
      <c r="G850" s="38"/>
      <c r="H850" s="38"/>
    </row>
    <row r="851">
      <c r="G851" s="38"/>
      <c r="H851" s="38"/>
    </row>
    <row r="852">
      <c r="G852" s="38"/>
      <c r="H852" s="38"/>
    </row>
    <row r="853">
      <c r="G853" s="38"/>
      <c r="H853" s="38"/>
    </row>
    <row r="854">
      <c r="G854" s="38"/>
      <c r="H854" s="38"/>
    </row>
    <row r="855">
      <c r="G855" s="38"/>
      <c r="H855" s="38"/>
    </row>
    <row r="856">
      <c r="G856" s="38"/>
      <c r="H856" s="38"/>
    </row>
    <row r="857">
      <c r="G857" s="38"/>
      <c r="H857" s="38"/>
    </row>
    <row r="858">
      <c r="G858" s="38"/>
      <c r="H858" s="38"/>
    </row>
    <row r="859">
      <c r="G859" s="38"/>
      <c r="H859" s="38"/>
    </row>
    <row r="860">
      <c r="G860" s="38"/>
      <c r="H860" s="38"/>
    </row>
    <row r="861">
      <c r="G861" s="38"/>
      <c r="H861" s="38"/>
    </row>
    <row r="862">
      <c r="G862" s="38"/>
      <c r="H862" s="38"/>
    </row>
    <row r="863">
      <c r="G863" s="38"/>
      <c r="H863" s="38"/>
    </row>
    <row r="864">
      <c r="G864" s="38"/>
      <c r="H864" s="38"/>
    </row>
    <row r="865">
      <c r="G865" s="38"/>
      <c r="H865" s="38"/>
    </row>
    <row r="866">
      <c r="G866" s="38"/>
      <c r="H866" s="38"/>
    </row>
    <row r="867">
      <c r="G867" s="38"/>
      <c r="H867" s="38"/>
    </row>
    <row r="868">
      <c r="G868" s="38"/>
      <c r="H868" s="38"/>
    </row>
    <row r="869">
      <c r="G869" s="38"/>
      <c r="H869" s="38"/>
    </row>
    <row r="870">
      <c r="G870" s="38"/>
      <c r="H870" s="38"/>
    </row>
    <row r="871">
      <c r="G871" s="38"/>
      <c r="H871" s="38"/>
    </row>
    <row r="872">
      <c r="G872" s="38"/>
      <c r="H872" s="38"/>
    </row>
    <row r="873">
      <c r="G873" s="38"/>
      <c r="H873" s="38"/>
    </row>
    <row r="874">
      <c r="G874" s="38"/>
      <c r="H874" s="38"/>
    </row>
    <row r="875">
      <c r="G875" s="38"/>
      <c r="H875" s="38"/>
    </row>
    <row r="876">
      <c r="G876" s="38"/>
      <c r="H876" s="38"/>
    </row>
    <row r="877">
      <c r="G877" s="38"/>
      <c r="H877" s="38"/>
    </row>
    <row r="878">
      <c r="G878" s="38"/>
      <c r="H878" s="38"/>
    </row>
    <row r="879">
      <c r="G879" s="38"/>
      <c r="H879" s="38"/>
    </row>
    <row r="880">
      <c r="G880" s="38"/>
      <c r="H880" s="38"/>
    </row>
    <row r="881">
      <c r="G881" s="38"/>
      <c r="H881" s="38"/>
    </row>
    <row r="882">
      <c r="G882" s="38"/>
      <c r="H882" s="38"/>
    </row>
    <row r="883">
      <c r="G883" s="38"/>
      <c r="H883" s="38"/>
    </row>
    <row r="884">
      <c r="G884" s="38"/>
      <c r="H884" s="38"/>
    </row>
    <row r="885">
      <c r="G885" s="38"/>
      <c r="H885" s="38"/>
    </row>
    <row r="886">
      <c r="G886" s="38"/>
      <c r="H886" s="38"/>
    </row>
    <row r="887">
      <c r="G887" s="38"/>
      <c r="H887" s="38"/>
    </row>
    <row r="888">
      <c r="G888" s="38"/>
      <c r="H888" s="38"/>
    </row>
    <row r="889">
      <c r="G889" s="38"/>
      <c r="H889" s="38"/>
    </row>
    <row r="890">
      <c r="G890" s="38"/>
      <c r="H890" s="38"/>
    </row>
    <row r="891">
      <c r="G891" s="38"/>
      <c r="H891" s="38"/>
    </row>
    <row r="892">
      <c r="G892" s="38"/>
      <c r="H892" s="38"/>
    </row>
    <row r="893">
      <c r="G893" s="38"/>
      <c r="H893" s="38"/>
    </row>
    <row r="894">
      <c r="G894" s="38"/>
      <c r="H894" s="38"/>
    </row>
    <row r="895">
      <c r="G895" s="38"/>
      <c r="H895" s="38"/>
    </row>
    <row r="896">
      <c r="G896" s="38"/>
      <c r="H896" s="38"/>
    </row>
    <row r="897">
      <c r="G897" s="38"/>
      <c r="H897" s="38"/>
    </row>
    <row r="898">
      <c r="G898" s="38"/>
      <c r="H898" s="38"/>
    </row>
    <row r="899">
      <c r="G899" s="38"/>
      <c r="H899" s="38"/>
    </row>
    <row r="900">
      <c r="G900" s="38"/>
      <c r="H900" s="38"/>
    </row>
    <row r="901">
      <c r="G901" s="38"/>
      <c r="H901" s="38"/>
    </row>
    <row r="902">
      <c r="G902" s="38"/>
      <c r="H902" s="38"/>
    </row>
    <row r="903">
      <c r="G903" s="38"/>
      <c r="H903" s="38"/>
    </row>
    <row r="904">
      <c r="G904" s="38"/>
      <c r="H904" s="38"/>
    </row>
    <row r="905">
      <c r="G905" s="38"/>
      <c r="H905" s="38"/>
    </row>
    <row r="906">
      <c r="G906" s="38"/>
      <c r="H906" s="38"/>
    </row>
    <row r="907">
      <c r="G907" s="38"/>
      <c r="H907" s="38"/>
    </row>
    <row r="908">
      <c r="G908" s="38"/>
      <c r="H908" s="38"/>
    </row>
    <row r="909">
      <c r="G909" s="38"/>
      <c r="H909" s="38"/>
    </row>
    <row r="910">
      <c r="G910" s="38"/>
      <c r="H910" s="38"/>
    </row>
    <row r="911">
      <c r="G911" s="38"/>
      <c r="H911" s="38"/>
    </row>
    <row r="912">
      <c r="G912" s="38"/>
      <c r="H912" s="38"/>
    </row>
    <row r="913">
      <c r="G913" s="38"/>
      <c r="H913" s="38"/>
    </row>
    <row r="914">
      <c r="G914" s="38"/>
      <c r="H914" s="38"/>
    </row>
    <row r="915">
      <c r="G915" s="38"/>
      <c r="H915" s="38"/>
    </row>
    <row r="916">
      <c r="G916" s="38"/>
      <c r="H916" s="38"/>
    </row>
    <row r="917">
      <c r="G917" s="38"/>
      <c r="H917" s="38"/>
    </row>
    <row r="918">
      <c r="G918" s="38"/>
      <c r="H918" s="38"/>
    </row>
    <row r="919">
      <c r="G919" s="38"/>
      <c r="H919" s="38"/>
    </row>
    <row r="920">
      <c r="G920" s="38"/>
      <c r="H920" s="38"/>
    </row>
    <row r="921">
      <c r="G921" s="38"/>
      <c r="H921" s="38"/>
    </row>
    <row r="922">
      <c r="G922" s="38"/>
      <c r="H922" s="38"/>
    </row>
    <row r="923">
      <c r="G923" s="38"/>
      <c r="H923" s="38"/>
    </row>
    <row r="924">
      <c r="G924" s="38"/>
      <c r="H924" s="38"/>
    </row>
    <row r="925">
      <c r="G925" s="38"/>
      <c r="H925" s="38"/>
    </row>
    <row r="926">
      <c r="G926" s="38"/>
      <c r="H926" s="38"/>
    </row>
    <row r="927">
      <c r="G927" s="38"/>
      <c r="H927" s="38"/>
    </row>
    <row r="928">
      <c r="G928" s="38"/>
      <c r="H928" s="38"/>
    </row>
    <row r="929">
      <c r="G929" s="38"/>
      <c r="H929" s="38"/>
    </row>
    <row r="930">
      <c r="G930" s="38"/>
      <c r="H930" s="38"/>
    </row>
    <row r="931">
      <c r="G931" s="38"/>
      <c r="H931" s="38"/>
    </row>
    <row r="932">
      <c r="G932" s="38"/>
      <c r="H932" s="38"/>
    </row>
    <row r="933">
      <c r="G933" s="38"/>
      <c r="H933" s="38"/>
    </row>
    <row r="934">
      <c r="G934" s="38"/>
      <c r="H934" s="38"/>
    </row>
    <row r="935">
      <c r="G935" s="38"/>
      <c r="H935" s="38"/>
    </row>
    <row r="936">
      <c r="G936" s="38"/>
      <c r="H936" s="38"/>
    </row>
    <row r="937">
      <c r="G937" s="38"/>
      <c r="H937" s="38"/>
    </row>
    <row r="938">
      <c r="G938" s="38"/>
      <c r="H938" s="38"/>
    </row>
    <row r="939">
      <c r="G939" s="38"/>
      <c r="H939" s="38"/>
    </row>
    <row r="940">
      <c r="G940" s="38"/>
      <c r="H940" s="38"/>
    </row>
    <row r="941">
      <c r="G941" s="38"/>
      <c r="H941" s="38"/>
    </row>
    <row r="942">
      <c r="G942" s="38"/>
      <c r="H942" s="38"/>
    </row>
    <row r="943">
      <c r="G943" s="38"/>
      <c r="H943" s="38"/>
    </row>
    <row r="944">
      <c r="G944" s="38"/>
      <c r="H944" s="38"/>
    </row>
    <row r="945">
      <c r="G945" s="38"/>
      <c r="H945" s="38"/>
    </row>
    <row r="946">
      <c r="G946" s="38"/>
      <c r="H946" s="38"/>
    </row>
    <row r="947">
      <c r="G947" s="38"/>
      <c r="H947" s="38"/>
    </row>
    <row r="948">
      <c r="G948" s="38"/>
      <c r="H948" s="38"/>
    </row>
    <row r="949">
      <c r="G949" s="38"/>
      <c r="H949" s="38"/>
    </row>
    <row r="950">
      <c r="G950" s="38"/>
      <c r="H950" s="38"/>
    </row>
    <row r="951">
      <c r="G951" s="38"/>
      <c r="H951" s="38"/>
    </row>
    <row r="952">
      <c r="G952" s="38"/>
      <c r="H952" s="38"/>
    </row>
    <row r="953">
      <c r="G953" s="38"/>
      <c r="H953" s="38"/>
    </row>
    <row r="954">
      <c r="G954" s="38"/>
      <c r="H954" s="38"/>
    </row>
    <row r="955">
      <c r="G955" s="38"/>
      <c r="H955" s="38"/>
    </row>
    <row r="956">
      <c r="G956" s="38"/>
      <c r="H956" s="38"/>
    </row>
    <row r="957">
      <c r="G957" s="38"/>
      <c r="H957" s="38"/>
    </row>
    <row r="958">
      <c r="G958" s="38"/>
      <c r="H958" s="38"/>
    </row>
    <row r="959">
      <c r="G959" s="38"/>
      <c r="H959" s="38"/>
    </row>
    <row r="960">
      <c r="G960" s="38"/>
      <c r="H960" s="38"/>
    </row>
    <row r="961">
      <c r="G961" s="38"/>
      <c r="H961" s="38"/>
    </row>
    <row r="962">
      <c r="G962" s="38"/>
      <c r="H962" s="38"/>
    </row>
    <row r="963">
      <c r="G963" s="38"/>
      <c r="H963" s="38"/>
    </row>
    <row r="964">
      <c r="G964" s="38"/>
      <c r="H964" s="38"/>
    </row>
    <row r="965">
      <c r="G965" s="38"/>
      <c r="H965" s="38"/>
    </row>
    <row r="966">
      <c r="G966" s="38"/>
      <c r="H966" s="38"/>
    </row>
    <row r="967">
      <c r="G967" s="38"/>
      <c r="H967" s="38"/>
    </row>
    <row r="968">
      <c r="G968" s="38"/>
      <c r="H968" s="38"/>
    </row>
    <row r="969">
      <c r="G969" s="38"/>
      <c r="H969" s="38"/>
    </row>
    <row r="970">
      <c r="G970" s="38"/>
      <c r="H970" s="38"/>
    </row>
    <row r="971">
      <c r="G971" s="38"/>
      <c r="H971" s="38"/>
    </row>
    <row r="972">
      <c r="G972" s="38"/>
      <c r="H972" s="38"/>
    </row>
    <row r="973">
      <c r="G973" s="38"/>
      <c r="H973" s="38"/>
    </row>
    <row r="974">
      <c r="G974" s="38"/>
      <c r="H974" s="38"/>
    </row>
    <row r="975">
      <c r="G975" s="38"/>
      <c r="H975" s="38"/>
    </row>
    <row r="976">
      <c r="G976" s="38"/>
      <c r="H976" s="38"/>
    </row>
    <row r="977">
      <c r="G977" s="38"/>
      <c r="H977" s="38"/>
    </row>
    <row r="978">
      <c r="G978" s="38"/>
      <c r="H978" s="38"/>
    </row>
    <row r="979">
      <c r="G979" s="38"/>
      <c r="H979" s="38"/>
    </row>
    <row r="980">
      <c r="G980" s="38"/>
      <c r="H980" s="38"/>
    </row>
    <row r="981">
      <c r="G981" s="38"/>
      <c r="H981" s="38"/>
    </row>
    <row r="982">
      <c r="G982" s="38"/>
      <c r="H982" s="38"/>
    </row>
    <row r="983">
      <c r="G983" s="38"/>
      <c r="H983" s="38"/>
    </row>
    <row r="984">
      <c r="G984" s="38"/>
      <c r="H984" s="38"/>
    </row>
    <row r="985">
      <c r="G985" s="38"/>
      <c r="H985" s="38"/>
    </row>
    <row r="986">
      <c r="G986" s="38"/>
      <c r="H986" s="38"/>
    </row>
    <row r="987">
      <c r="G987" s="38"/>
      <c r="H987" s="38"/>
    </row>
    <row r="988">
      <c r="G988" s="38"/>
      <c r="H988" s="38"/>
    </row>
    <row r="989">
      <c r="G989" s="38"/>
      <c r="H989" s="38"/>
    </row>
    <row r="990">
      <c r="G990" s="38"/>
      <c r="H990" s="38"/>
    </row>
    <row r="991">
      <c r="G991" s="38"/>
      <c r="H991" s="38"/>
    </row>
    <row r="992">
      <c r="G992" s="38"/>
      <c r="H992" s="38"/>
    </row>
    <row r="993">
      <c r="G993" s="38"/>
      <c r="H993" s="38"/>
    </row>
    <row r="994">
      <c r="G994" s="38"/>
      <c r="H994" s="38"/>
    </row>
    <row r="995">
      <c r="G995" s="38"/>
      <c r="H995" s="38"/>
    </row>
    <row r="996">
      <c r="G996" s="38"/>
      <c r="H996" s="38"/>
    </row>
    <row r="997">
      <c r="G997" s="38"/>
      <c r="H997" s="38"/>
    </row>
    <row r="998">
      <c r="G998" s="38"/>
      <c r="H998" s="38"/>
    </row>
    <row r="999">
      <c r="G999" s="38"/>
      <c r="H999" s="38"/>
    </row>
    <row r="1000">
      <c r="G1000" s="38"/>
      <c r="H1000" s="3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35" t="s">
        <v>223</v>
      </c>
      <c r="D1" s="35" t="s">
        <v>224</v>
      </c>
      <c r="E1" s="35" t="s">
        <v>225</v>
      </c>
      <c r="F1" s="35" t="s">
        <v>4</v>
      </c>
      <c r="G1" s="35" t="s">
        <v>3</v>
      </c>
    </row>
    <row r="2">
      <c r="A2" s="35">
        <v>45.0</v>
      </c>
      <c r="B2" s="39" t="str">
        <f t="shared" ref="B2:B10" si="2">DEC2HEX(C2)</f>
        <v>6487ED51</v>
      </c>
      <c r="C2" s="35">
        <v>1.686629713E9</v>
      </c>
      <c r="F2" s="35" t="str">
        <f t="shared" ref="F2:G2" si="1">DEC2HEX(H2)</f>
        <v>5A82799A</v>
      </c>
      <c r="G2" s="35" t="str">
        <f t="shared" si="1"/>
        <v>5A82799A</v>
      </c>
      <c r="H2" s="35">
        <v>1.51850025E9</v>
      </c>
      <c r="I2" s="35">
        <v>1.51850025E9</v>
      </c>
    </row>
    <row r="3">
      <c r="A3" s="35">
        <v>-45.0</v>
      </c>
      <c r="B3" s="39" t="str">
        <f t="shared" si="2"/>
        <v>FF9B7812AF</v>
      </c>
      <c r="C3" s="35">
        <v>-1.686629713E9</v>
      </c>
      <c r="F3" s="35" t="str">
        <f t="shared" ref="F3:G3" si="3">DEC2HEX(H3)</f>
        <v>0</v>
      </c>
      <c r="G3" s="35" t="str">
        <f t="shared" si="3"/>
        <v>0</v>
      </c>
    </row>
    <row r="4">
      <c r="A4" s="35">
        <v>30.0</v>
      </c>
      <c r="B4" s="39" t="str">
        <f t="shared" si="2"/>
        <v>430548E1</v>
      </c>
      <c r="C4" s="35">
        <v>1.124419809E9</v>
      </c>
      <c r="D4" s="35" t="s">
        <v>226</v>
      </c>
      <c r="E4" s="35" t="s">
        <v>227</v>
      </c>
      <c r="F4" s="35" t="str">
        <f t="shared" ref="F4:G4" si="4">DEC2HEX(H4)</f>
        <v>40000000</v>
      </c>
      <c r="G4" s="35" t="str">
        <f t="shared" si="4"/>
        <v>6ED9EBA1</v>
      </c>
      <c r="H4" s="35">
        <v>1.073741824E9</v>
      </c>
      <c r="I4" s="35">
        <v>1.859775393E9</v>
      </c>
    </row>
    <row r="5">
      <c r="A5" s="35">
        <v>-30.0</v>
      </c>
      <c r="B5" s="39" t="str">
        <f t="shared" si="2"/>
        <v>FFBCFAB71F</v>
      </c>
      <c r="C5" s="35">
        <v>-1.124419809E9</v>
      </c>
      <c r="F5" s="35" t="str">
        <f t="shared" ref="F5:G5" si="5">DEC2HEX(H5)</f>
        <v>0</v>
      </c>
      <c r="G5" s="35" t="str">
        <f t="shared" si="5"/>
        <v>0</v>
      </c>
    </row>
    <row r="6">
      <c r="A6" s="35">
        <v>15.0</v>
      </c>
      <c r="B6" s="39" t="str">
        <f t="shared" si="2"/>
        <v>2182A470</v>
      </c>
      <c r="C6" s="35">
        <v>5.62209904E8</v>
      </c>
      <c r="D6" s="35" t="s">
        <v>228</v>
      </c>
      <c r="E6" s="35" t="s">
        <v>229</v>
      </c>
      <c r="F6" s="35" t="str">
        <f t="shared" ref="F6:G6" si="6">DEC2HEX(H6)</f>
        <v>2120FB83</v>
      </c>
      <c r="G6" s="35" t="str">
        <f t="shared" si="6"/>
        <v>7BA3751D</v>
      </c>
      <c r="H6" s="35">
        <v>5.55809667E8</v>
      </c>
      <c r="I6" s="35">
        <v>2.074309917E9</v>
      </c>
    </row>
    <row r="7">
      <c r="A7" s="35">
        <v>-15.0</v>
      </c>
      <c r="B7" s="39" t="str">
        <f t="shared" si="2"/>
        <v>FFDE7D5B90</v>
      </c>
      <c r="C7" s="35">
        <v>-5.62209904E8</v>
      </c>
      <c r="F7" s="35" t="str">
        <f t="shared" ref="F7:G7" si="7">DEC2HEX(H7)</f>
        <v>0</v>
      </c>
      <c r="G7" s="35" t="str">
        <f t="shared" si="7"/>
        <v>0</v>
      </c>
    </row>
    <row r="8">
      <c r="A8" s="35">
        <v>5.0</v>
      </c>
      <c r="B8" s="39" t="str">
        <f t="shared" si="2"/>
        <v>B2B8C25</v>
      </c>
      <c r="C8" s="35">
        <v>1.87403301E8</v>
      </c>
      <c r="D8" s="35" t="s">
        <v>230</v>
      </c>
      <c r="E8" s="35" t="s">
        <v>231</v>
      </c>
      <c r="F8" s="35" t="str">
        <f t="shared" ref="F8:G8" si="8">DEC2HEX(H8)</f>
        <v>B27EB5C</v>
      </c>
      <c r="G8" s="35" t="str">
        <f t="shared" si="8"/>
        <v>7F834ED0</v>
      </c>
      <c r="H8" s="35">
        <v>1.87165532E8</v>
      </c>
      <c r="I8" s="35">
        <v>2.139311824E9</v>
      </c>
    </row>
    <row r="9">
      <c r="A9" s="35">
        <v>-5.0</v>
      </c>
      <c r="B9" s="39" t="str">
        <f t="shared" si="2"/>
        <v>FFF4D473DB</v>
      </c>
      <c r="C9" s="35">
        <v>-1.87403301E8</v>
      </c>
      <c r="F9" s="35" t="str">
        <f t="shared" ref="F9:G9" si="9">DEC2HEX(H9)</f>
        <v>0</v>
      </c>
      <c r="G9" s="35" t="str">
        <f t="shared" si="9"/>
        <v>0</v>
      </c>
    </row>
    <row r="10">
      <c r="A10" s="35">
        <v>0.0</v>
      </c>
      <c r="B10" s="39" t="str">
        <f t="shared" si="2"/>
        <v>0</v>
      </c>
      <c r="C10" s="35">
        <v>0.0</v>
      </c>
      <c r="D10" s="35" t="s">
        <v>232</v>
      </c>
      <c r="E10" s="35" t="s">
        <v>233</v>
      </c>
      <c r="F10" s="35" t="str">
        <f t="shared" ref="F10:G10" si="10">DEC2HEX(H10)</f>
        <v>0</v>
      </c>
      <c r="G10" s="35" t="str">
        <f t="shared" si="10"/>
        <v>1</v>
      </c>
      <c r="H10" s="35">
        <v>0.0</v>
      </c>
      <c r="I10" s="35">
        <v>1.0</v>
      </c>
    </row>
  </sheetData>
  <drawing r:id="rId1"/>
</worksheet>
</file>